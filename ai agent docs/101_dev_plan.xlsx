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peren\Desktop\101 Okey project\"/>
    </mc:Choice>
  </mc:AlternateContent>
  <xr:revisionPtr revIDLastSave="0" documentId="8_{2BA9BC4C-9F42-4960-95AE-2B3E700B7676}" xr6:coauthVersionLast="47" xr6:coauthVersionMax="47" xr10:uidLastSave="{00000000-0000-0000-0000-000000000000}"/>
  <bookViews>
    <workbookView xWindow="735" yWindow="735" windowWidth="28800" windowHeight="15345" xr2:uid="{00000000-000D-0000-FFFF-FFFF00000000}"/>
  </bookViews>
  <sheets>
    <sheet name="README" sheetId="1" r:id="rId1"/>
    <sheet name="Settings" sheetId="2" r:id="rId2"/>
    <sheet name="Tasks" sheetId="3" r:id="rId3"/>
    <sheet name="Stage Plan" sheetId="4" r:id="rId4"/>
    <sheet name="Gantt" sheetId="5" r:id="rId5"/>
    <sheet name="Dashboard" sheetId="6" r:id="rId6"/>
  </sheets>
  <definedNames>
    <definedName name="_xlnm._FilterDatabase" localSheetId="3" hidden="1">'Stage Plan'!$A$1:$E$13</definedName>
    <definedName name="_xlnm._FilterDatabase" localSheetId="2" hidden="1">Tasks!$A$1:$S$94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6" l="1"/>
  <c r="B26" i="6"/>
  <c r="B25" i="6"/>
  <c r="B24" i="6"/>
  <c r="B23" i="6"/>
  <c r="B22" i="6"/>
  <c r="B21" i="6"/>
  <c r="B20" i="6"/>
  <c r="B19" i="6"/>
  <c r="B18" i="6"/>
  <c r="B17" i="6"/>
  <c r="B16" i="6"/>
  <c r="B10" i="6"/>
  <c r="B9" i="6"/>
  <c r="B8" i="6"/>
  <c r="B7" i="6"/>
  <c r="B6" i="6"/>
  <c r="B5" i="6"/>
  <c r="C14" i="5"/>
  <c r="B14" i="5"/>
  <c r="A14" i="5"/>
  <c r="C13" i="5"/>
  <c r="B13" i="5"/>
  <c r="A13" i="5"/>
  <c r="C12" i="5"/>
  <c r="B12" i="5"/>
  <c r="A12" i="5"/>
  <c r="C11" i="5"/>
  <c r="B11" i="5"/>
  <c r="A11" i="5"/>
  <c r="C10" i="5"/>
  <c r="B10" i="5"/>
  <c r="A10" i="5"/>
  <c r="C9" i="5"/>
  <c r="B9" i="5"/>
  <c r="A9" i="5"/>
  <c r="C8" i="5"/>
  <c r="B8" i="5"/>
  <c r="A8" i="5"/>
  <c r="C7" i="5"/>
  <c r="B7" i="5"/>
  <c r="A7" i="5"/>
  <c r="C6" i="5"/>
  <c r="B6" i="5"/>
  <c r="A6" i="5"/>
  <c r="C5" i="5"/>
  <c r="B5" i="5"/>
  <c r="A5" i="5"/>
  <c r="C4" i="5"/>
  <c r="B4" i="5"/>
  <c r="A4" i="5"/>
  <c r="C3" i="5"/>
  <c r="B3" i="5"/>
  <c r="A3" i="5"/>
  <c r="P94" i="3"/>
  <c r="Q94" i="3" s="1"/>
  <c r="Q93" i="3"/>
  <c r="P93" i="3"/>
  <c r="P92" i="3"/>
  <c r="Q92" i="3" s="1"/>
  <c r="P91" i="3"/>
  <c r="Q91" i="3" s="1"/>
  <c r="Q90" i="3"/>
  <c r="P90" i="3"/>
  <c r="P89" i="3"/>
  <c r="Q89" i="3" s="1"/>
  <c r="Q88" i="3"/>
  <c r="P88" i="3"/>
  <c r="Q87" i="3"/>
  <c r="P87" i="3"/>
  <c r="P86" i="3"/>
  <c r="Q86" i="3" s="1"/>
  <c r="Q85" i="3"/>
  <c r="P85" i="3"/>
  <c r="Q84" i="3"/>
  <c r="P84" i="3"/>
  <c r="P83" i="3"/>
  <c r="Q83" i="3" s="1"/>
  <c r="Q82" i="3"/>
  <c r="P82" i="3"/>
  <c r="Q81" i="3"/>
  <c r="P81" i="3"/>
  <c r="Q80" i="3"/>
  <c r="P80" i="3"/>
  <c r="Q79" i="3"/>
  <c r="P79" i="3"/>
  <c r="Q78" i="3"/>
  <c r="P78" i="3"/>
  <c r="Q77" i="3"/>
  <c r="P77" i="3"/>
  <c r="Q76" i="3"/>
  <c r="P76" i="3"/>
  <c r="Q75" i="3"/>
  <c r="P75" i="3"/>
  <c r="Q74" i="3"/>
  <c r="P74" i="3"/>
  <c r="Q73" i="3"/>
  <c r="P73" i="3"/>
  <c r="Q72" i="3"/>
  <c r="P72" i="3"/>
  <c r="Q71" i="3"/>
  <c r="P71" i="3"/>
  <c r="Q70" i="3"/>
  <c r="P70" i="3"/>
  <c r="Q69" i="3"/>
  <c r="P69" i="3"/>
  <c r="Q68" i="3"/>
  <c r="P68" i="3"/>
  <c r="Q67" i="3"/>
  <c r="P67" i="3"/>
  <c r="Q66" i="3"/>
  <c r="P66" i="3"/>
  <c r="Q65" i="3"/>
  <c r="P65" i="3"/>
  <c r="Q64" i="3"/>
  <c r="P64" i="3"/>
  <c r="Q63" i="3"/>
  <c r="P63" i="3"/>
  <c r="Q62" i="3"/>
  <c r="P62" i="3"/>
  <c r="Q61" i="3"/>
  <c r="P61" i="3"/>
  <c r="Q60" i="3"/>
  <c r="P60" i="3"/>
  <c r="Q59" i="3"/>
  <c r="P59" i="3"/>
  <c r="Q58" i="3"/>
  <c r="P58" i="3"/>
  <c r="Q57" i="3"/>
  <c r="P57" i="3"/>
  <c r="Q56" i="3"/>
  <c r="P56" i="3"/>
  <c r="Q55" i="3"/>
  <c r="P55" i="3"/>
  <c r="Q54" i="3"/>
  <c r="P54" i="3"/>
  <c r="Q53" i="3"/>
  <c r="P53" i="3"/>
  <c r="Q52" i="3"/>
  <c r="P52" i="3"/>
  <c r="Q51" i="3"/>
  <c r="P51" i="3"/>
  <c r="Q50" i="3"/>
  <c r="P50" i="3"/>
  <c r="Q49" i="3"/>
  <c r="P49" i="3"/>
  <c r="Q48" i="3"/>
  <c r="P48" i="3"/>
  <c r="Q47" i="3"/>
  <c r="P47" i="3"/>
  <c r="Q46" i="3"/>
  <c r="P46" i="3"/>
  <c r="Q45" i="3"/>
  <c r="P45" i="3"/>
  <c r="Q44" i="3"/>
  <c r="P44" i="3"/>
  <c r="Q43" i="3"/>
  <c r="P43" i="3"/>
  <c r="Q42" i="3"/>
  <c r="P42" i="3"/>
  <c r="Q41" i="3"/>
  <c r="P41" i="3"/>
  <c r="Q40" i="3"/>
  <c r="P40" i="3"/>
  <c r="Q39" i="3"/>
  <c r="P39" i="3"/>
  <c r="Q38" i="3"/>
  <c r="P38" i="3"/>
  <c r="Q37" i="3"/>
  <c r="P37" i="3"/>
  <c r="Q36" i="3"/>
  <c r="P36" i="3"/>
  <c r="Q35" i="3"/>
  <c r="P35" i="3"/>
  <c r="Q34" i="3"/>
  <c r="P34" i="3"/>
  <c r="Q33" i="3"/>
  <c r="P33" i="3"/>
  <c r="Q32" i="3"/>
  <c r="P32" i="3"/>
  <c r="Q31" i="3"/>
  <c r="P31" i="3"/>
  <c r="Q30" i="3"/>
  <c r="P30" i="3"/>
  <c r="Q29" i="3"/>
  <c r="P29" i="3"/>
  <c r="Q28" i="3"/>
  <c r="P28" i="3"/>
  <c r="Q27" i="3"/>
  <c r="P27" i="3"/>
  <c r="Q26" i="3"/>
  <c r="P26" i="3"/>
  <c r="Q25" i="3"/>
  <c r="P25" i="3"/>
  <c r="Q24" i="3"/>
  <c r="P24" i="3"/>
  <c r="Q23" i="3"/>
  <c r="P23" i="3"/>
  <c r="Q22" i="3"/>
  <c r="P22" i="3"/>
  <c r="Q21" i="3"/>
  <c r="P21" i="3"/>
  <c r="Q20" i="3"/>
  <c r="P20" i="3"/>
  <c r="Q19" i="3"/>
  <c r="P19" i="3"/>
  <c r="Q18" i="3"/>
  <c r="P18" i="3"/>
  <c r="Q17" i="3"/>
  <c r="P17" i="3"/>
  <c r="Q16" i="3"/>
  <c r="P16" i="3"/>
  <c r="Q15" i="3"/>
  <c r="P15" i="3"/>
  <c r="Q14" i="3"/>
  <c r="P14" i="3"/>
  <c r="Q13" i="3"/>
  <c r="P13" i="3"/>
  <c r="Q12" i="3"/>
  <c r="P12" i="3"/>
  <c r="Q11" i="3"/>
  <c r="P11" i="3"/>
  <c r="Q10" i="3"/>
  <c r="P10" i="3"/>
  <c r="Q9" i="3"/>
  <c r="P9" i="3"/>
  <c r="Q8" i="3"/>
  <c r="P8" i="3"/>
  <c r="Q7" i="3"/>
  <c r="P7" i="3"/>
  <c r="Q6" i="3"/>
  <c r="P6" i="3"/>
  <c r="Q5" i="3"/>
  <c r="P5" i="3"/>
  <c r="Q4" i="3"/>
  <c r="P4" i="3"/>
  <c r="Q3" i="3"/>
  <c r="P3" i="3"/>
  <c r="Q2" i="3"/>
  <c r="P2" i="3"/>
</calcChain>
</file>

<file path=xl/sharedStrings.xml><?xml version="1.0" encoding="utf-8"?>
<sst xmlns="http://schemas.openxmlformats.org/spreadsheetml/2006/main" count="1442" uniqueCount="566">
  <si>
    <t>101 Okey — Development Plan &amp; Task Tracker</t>
  </si>
  <si>
    <t>How to use this workbook</t>
  </si>
  <si>
    <t>1) Go to Settings: set Project Start Date, and optionally edit the dropdown lists.
2) Go to Tasks: this is the master backlog. Filter by Stage/Status/Priority and feed tasks to Codex.
3) Use the Notes / Codex Prompt Seed column as the starting prompt when delegating a task.
4) Go to Dashboard for progress charts; Gantt for the stage timeline.
Workflow suggestion:
- Keep tasks in Backlog until you’re ready; then set Status=Planned and assign a Start Offset.
- When you start coding, set Status=In Progress. Use Blocked when waiting on dependencies.
- Mark Done only when Acceptance Criteria is met on both PC and Android (when applicable).
Online multiplayer is planned using Epic Online Services (EOS) P2P with guest (DeviceID) login by default.
Some networks can still fail; we also keep LAN/direct-connect as a fallback mode.</t>
  </si>
  <si>
    <t>Project Settings</t>
  </si>
  <si>
    <t>Project Name</t>
  </si>
  <si>
    <t>101 Okey (Godot)</t>
  </si>
  <si>
    <t>Project Start Date</t>
  </si>
  <si>
    <t>Sprint Length (days)</t>
  </si>
  <si>
    <t>Default Turn Timer (sec)</t>
  </si>
  <si>
    <t>60</t>
  </si>
  <si>
    <t>Default Match Mode</t>
  </si>
  <si>
    <t>Target Score</t>
  </si>
  <si>
    <t>Default Target Score</t>
  </si>
  <si>
    <t>101</t>
  </si>
  <si>
    <t>Default Rounds</t>
  </si>
  <si>
    <t>8</t>
  </si>
  <si>
    <t>Animation Speed</t>
  </si>
  <si>
    <t>Normal</t>
  </si>
  <si>
    <t>Tips Verbosity</t>
  </si>
  <si>
    <t>OnboardingOnly</t>
  </si>
  <si>
    <t>Online Identity</t>
  </si>
  <si>
    <t>GuestDeviceID</t>
  </si>
  <si>
    <t>Dropdown Lists (edit if needed)</t>
  </si>
  <si>
    <t>Status</t>
  </si>
  <si>
    <t>Priority</t>
  </si>
  <si>
    <t>Type</t>
  </si>
  <si>
    <t>Platform</t>
  </si>
  <si>
    <t>Owner</t>
  </si>
  <si>
    <t>Stage</t>
  </si>
  <si>
    <t>Bot Personality</t>
  </si>
  <si>
    <t>Difficulty</t>
  </si>
  <si>
    <t>Backlog</t>
  </si>
  <si>
    <t>P0</t>
  </si>
  <si>
    <t>Design</t>
  </si>
  <si>
    <t>All</t>
  </si>
  <si>
    <t>You</t>
  </si>
  <si>
    <t>0 - Preproduction (Spec &amp; Design Lock)</t>
  </si>
  <si>
    <t>Random</t>
  </si>
  <si>
    <t>Easy</t>
  </si>
  <si>
    <t>Planned</t>
  </si>
  <si>
    <t>P1</t>
  </si>
  <si>
    <t>Engineering</t>
  </si>
  <si>
    <t>Offline</t>
  </si>
  <si>
    <t>Codex</t>
  </si>
  <si>
    <t>1 - Project Setup &amp; Tooling</t>
  </si>
  <si>
    <t>Aggressive</t>
  </si>
  <si>
    <t>Medium</t>
  </si>
  <si>
    <t>In Progress</t>
  </si>
  <si>
    <t>P2</t>
  </si>
  <si>
    <t>Art</t>
  </si>
  <si>
    <t>Online</t>
  </si>
  <si>
    <t>You+Codex</t>
  </si>
  <si>
    <t>2 - Core Game Engine (Rules/State)</t>
  </si>
  <si>
    <t>Conservative</t>
  </si>
  <si>
    <t>Hard</t>
  </si>
  <si>
    <t>Blocked</t>
  </si>
  <si>
    <t>Audio</t>
  </si>
  <si>
    <t>PC</t>
  </si>
  <si>
    <t>TBD</t>
  </si>
  <si>
    <t>3 - Offline Gameplay Loop</t>
  </si>
  <si>
    <t>Chaotic</t>
  </si>
  <si>
    <t>Review</t>
  </si>
  <si>
    <t>QA</t>
  </si>
  <si>
    <t>Android</t>
  </si>
  <si>
    <t>4 - UI/UX &amp; Input</t>
  </si>
  <si>
    <t>Done</t>
  </si>
  <si>
    <t>DevOps</t>
  </si>
  <si>
    <t>5 - Bots (AI)</t>
  </si>
  <si>
    <t>Writing</t>
  </si>
  <si>
    <t>6 - Online Multiplayer (EOS + P2P)</t>
  </si>
  <si>
    <t>7 - Reconnect &amp; Resilience</t>
  </si>
  <si>
    <t>8 - Polish (Audio/Accessibility/Perf)</t>
  </si>
  <si>
    <t>9 - QA &amp; Test Matrix</t>
  </si>
  <si>
    <t>10 - Builds &amp; Release Pipeline</t>
  </si>
  <si>
    <t>11 - Store/Distribution Prep</t>
  </si>
  <si>
    <t>ID</t>
  </si>
  <si>
    <t>Epic</t>
  </si>
  <si>
    <t>Feature</t>
  </si>
  <si>
    <t>Task</t>
  </si>
  <si>
    <t>Description</t>
  </si>
  <si>
    <t>Est (hrs)</t>
  </si>
  <si>
    <t>Est (days)</t>
  </si>
  <si>
    <t>Dependencies</t>
  </si>
  <si>
    <t>Start Offset (d)</t>
  </si>
  <si>
    <t>Start Date</t>
  </si>
  <si>
    <t>End Date</t>
  </si>
  <si>
    <t>Notes / Codex Prompt Seed</t>
  </si>
  <si>
    <t>Acceptance Criteria</t>
  </si>
  <si>
    <t>T-0001</t>
  </si>
  <si>
    <t>Preproduction</t>
  </si>
  <si>
    <t>Ruleset</t>
  </si>
  <si>
    <t>Write Classic TR 101 rules specification</t>
  </si>
  <si>
    <t>Document full TR 101 Okey rules: tiles, indicator/okey, dealing, turns, opening, scoring, end-of-round, penalties.</t>
  </si>
  <si>
    <t/>
  </si>
  <si>
    <t>Ask Codex to draft a rules spec doc based on Turkish 101 Okey; verify manually.</t>
  </si>
  <si>
    <t>A single source-of-truth rules spec exists and is reviewed; ambiguous points resolved.</t>
  </si>
  <si>
    <t>T-0002</t>
  </si>
  <si>
    <t>Define house-rule toggles + presets list</t>
  </si>
  <si>
    <t>Decide safe modular toggles (timer, match target, opening threshold, scoring multipliers) and 3-5 presets.</t>
  </si>
  <si>
    <t>RuleConfig v1 list finalized; no toggle changes core tile mechanics.</t>
  </si>
  <si>
    <t>T-0003</t>
  </si>
  <si>
    <t>Architecture</t>
  </si>
  <si>
    <t>Define GameState schema + action API</t>
  </si>
  <si>
    <t>Define data model (Tile, PlayerState, GameState) + all legal actions with payloads.</t>
  </si>
  <si>
    <t>Action list covers all gameplay; each action maps to validation + apply.</t>
  </si>
  <si>
    <t>T-0004</t>
  </si>
  <si>
    <t>Networking event flow (host-authoritative)</t>
  </si>
  <si>
    <t>Define online flow: host validates intents, broadcasts deltas, resync snapshots, reconnect, AI takeover.</t>
  </si>
  <si>
    <t>Sequence diagrams for normal play + reconnect; no undefined states.</t>
  </si>
  <si>
    <t>T-0005</t>
  </si>
  <si>
    <t>UX</t>
  </si>
  <si>
    <t>Wireframe core screens</t>
  </si>
  <si>
    <t>Wireframe: Main Menu, Offline Setup, Online Lobby, Table, Round Summary, Settings.</t>
  </si>
  <si>
    <t>Wireframes cover all actions; Android landscape considered.</t>
  </si>
  <si>
    <t>T-0006</t>
  </si>
  <si>
    <t>Visual style mini moodboard</t>
  </si>
  <si>
    <t>Pick flat 2D style references for tiles/table; define fonts, spacing, color palette, icon style.</t>
  </si>
  <si>
    <t>Style guide page with tile mock + UI colors.</t>
  </si>
  <si>
    <t>T-0007</t>
  </si>
  <si>
    <t>Create task board + definitions</t>
  </si>
  <si>
    <t>Define status workflow, priority rules, definition of done, branching strategy.</t>
  </si>
  <si>
    <t>Workflow documented; tasks ready for execution.</t>
  </si>
  <si>
    <t>T-0008</t>
  </si>
  <si>
    <t>Setup</t>
  </si>
  <si>
    <t>Repo</t>
  </si>
  <si>
    <t>Initialize repository + .gitignore + LFS (if needed)</t>
  </si>
  <si>
    <t>Create repo, ignore Godot artifacts, decide if LFS needed for art.</t>
  </si>
  <si>
    <t>Repo exists; clean status after opening project.</t>
  </si>
  <si>
    <t>T-0009</t>
  </si>
  <si>
    <t>Godot</t>
  </si>
  <si>
    <t>Create Godot 4 project structure</t>
  </si>
  <si>
    <t>Setup scenes, scripts, autoloads folders, naming conventions.</t>
  </si>
  <si>
    <t>Project opens; folders reflect architecture; autoload stubs.</t>
  </si>
  <si>
    <t>T-0010</t>
  </si>
  <si>
    <t>Tooling</t>
  </si>
  <si>
    <t>Configure code formatting &amp; linting</t>
  </si>
  <si>
    <t>Adopt GDScript style guidelines; pre-commit hooks optional.</t>
  </si>
  <si>
    <t>Formatter/linter runs; CI step (if used) passes.</t>
  </si>
  <si>
    <t>T-0011</t>
  </si>
  <si>
    <t>Build</t>
  </si>
  <si>
    <t>Android export setup + keystore placeholders</t>
  </si>
  <si>
    <t>Configure Android export template, input, orientation landscape, signing placeholders.</t>
  </si>
  <si>
    <t>Can export and run a blank build on Android device/emulator.</t>
  </si>
  <si>
    <t>T-0012</t>
  </si>
  <si>
    <t>PC export presets</t>
  </si>
  <si>
    <t>Configure Windows/Linux export presets and basic packaging.</t>
  </si>
  <si>
    <t>Can export and run on PC.</t>
  </si>
  <si>
    <t>T-0013</t>
  </si>
  <si>
    <t>Infra</t>
  </si>
  <si>
    <t>Logging + debug overlay</t>
  </si>
  <si>
    <t>Add logging utility and optional on-screen debug panel for state, network, FPS.</t>
  </si>
  <si>
    <t>Logs written; debug overlay toggles via key/gesture.</t>
  </si>
  <si>
    <t>T-0014</t>
  </si>
  <si>
    <t>Lightweight test harness scaffolding</t>
  </si>
  <si>
    <t>Create test scene/scripts to run pure rules tests quickly.</t>
  </si>
  <si>
    <t>Can run tests headless or via scene; produces pass/fail output.</t>
  </si>
  <si>
    <t>T-0015</t>
  </si>
  <si>
    <t>Engine</t>
  </si>
  <si>
    <t>Rules</t>
  </si>
  <si>
    <t>Implement Tile model + constants</t>
  </si>
  <si>
    <t>Tile representation: color, number, okey, fake okey; helpers for equality/serialization.</t>
  </si>
  <si>
    <t>Tiles serialize/deserialize; unit tests for identity.</t>
  </si>
  <si>
    <t>T-0016</t>
  </si>
  <si>
    <t>Implement deck generation + shuffle by seed</t>
  </si>
  <si>
    <t>Create full tile set; shuffle deterministically via seed; expose seed in GameState.</t>
  </si>
  <si>
    <t>Given same seed, deck order identical across runs.</t>
  </si>
  <si>
    <t>T-0017</t>
  </si>
  <si>
    <t>Implement dealing logic</t>
  </si>
  <si>
    <t>Deal initial hands according to TR rules (including extra tile to starting player).</t>
  </si>
  <si>
    <t>T-0001, T-0003, T-0010</t>
  </si>
  <si>
    <t>Hands sizes correct; indicator set; discard initialized.</t>
  </si>
  <si>
    <t>T-0018</t>
  </si>
  <si>
    <t>State</t>
  </si>
  <si>
    <t>Define GameState + PlayerState classes</t>
  </si>
  <si>
    <t>Implement pure data objects and cloning/copy utilities.</t>
  </si>
  <si>
    <t>State can deep-copy; no shared references.</t>
  </si>
  <si>
    <t>T-0019</t>
  </si>
  <si>
    <t>Actions</t>
  </si>
  <si>
    <t>Implement action validation framework</t>
  </si>
  <si>
    <t>validate_action(state, player, action, rules) returns ok + reason code.</t>
  </si>
  <si>
    <t>T-0003, T-0011</t>
  </si>
  <si>
    <t>Every action returns deterministic result; reasons enumerated.</t>
  </si>
  <si>
    <t>T-0020</t>
  </si>
  <si>
    <t>Implement apply_action reducer + event log</t>
  </si>
  <si>
    <t>apply_action returns new_state + delta/events (for UI + network).</t>
  </si>
  <si>
    <t>Reducer is pure; events sufficient to animate UI.</t>
  </si>
  <si>
    <t>T-0021</t>
  </si>
  <si>
    <t>Implement scoring engine</t>
  </si>
  <si>
    <t>Compute points for open melds, penalties, end-of-round scoring; support match targets.</t>
  </si>
  <si>
    <t>T-0001, T-0002, T-0017</t>
  </si>
  <si>
    <t>Score matches spec; unit tests for sample rounds.</t>
  </si>
  <si>
    <t>T-0022</t>
  </si>
  <si>
    <t>Implement RuleConfig + presets + hashing</t>
  </si>
  <si>
    <t>RuleConfig object with preset id + overrides; stable hash for online lobby.</t>
  </si>
  <si>
    <t>Config serializes; hash stable; presets load.</t>
  </si>
  <si>
    <t>T-0023</t>
  </si>
  <si>
    <t>Serialization</t>
  </si>
  <si>
    <t>State snapshot + delta serialization</t>
  </si>
  <si>
    <t>Serialize GameState and delta/events to JSON or packed bytes for network/resync.</t>
  </si>
  <si>
    <t>T-0014, T-0017</t>
  </si>
  <si>
    <t>Snapshot round-trips; delta apply works.</t>
  </si>
  <si>
    <t>T-0024</t>
  </si>
  <si>
    <t>Undo</t>
  </si>
  <si>
    <t>Undo stack for offline</t>
  </si>
  <si>
    <t>Store prior snapshots or action log; allow undo to previous player-turn boundary.</t>
  </si>
  <si>
    <t>T-0017, T-0019</t>
  </si>
  <si>
    <t>Undo restores exact state; limited by settings.</t>
  </si>
  <si>
    <t>T-0025</t>
  </si>
  <si>
    <t>Draw</t>
  </si>
  <si>
    <t>Implement draw-from-deck action</t>
  </si>
  <si>
    <t>Draw action updates hand and deck; events for animation.</t>
  </si>
  <si>
    <t>T-0016, T-0017, T-0018</t>
  </si>
  <si>
    <t>Action validated; reducer updates state; tests cover edge cases.</t>
  </si>
  <si>
    <t>T-0026</t>
  </si>
  <si>
    <t>Implement draw-from-discard action</t>
  </si>
  <si>
    <t>Draw discard respects rule config; updates discard pile.</t>
  </si>
  <si>
    <t>T-0027</t>
  </si>
  <si>
    <t>Discard</t>
  </si>
  <si>
    <t>Implement discard action</t>
  </si>
  <si>
    <t>Discard validates ownership; updates discard; rotates current player.</t>
  </si>
  <si>
    <t>T-0028</t>
  </si>
  <si>
    <t>Meld</t>
  </si>
  <si>
    <t>Implement place-meld action</t>
  </si>
  <si>
    <t>Validate meld composition under rules; supports jokers/okey usage.</t>
  </si>
  <si>
    <t>T-0029</t>
  </si>
  <si>
    <t>Implement rearrange/extend melds action</t>
  </si>
  <si>
    <t>Validate table manipulation; event log for UI.</t>
  </si>
  <si>
    <t>T-0030</t>
  </si>
  <si>
    <t>Round</t>
  </si>
  <si>
    <t>Implement end-round action</t>
  </si>
  <si>
    <t>Detect legal finish, compute penalties, start next round or end match.</t>
  </si>
  <si>
    <t>T-0031</t>
  </si>
  <si>
    <t>Implement meld detection utilities</t>
  </si>
  <si>
    <t>Helpers: find runs/sets in a hand, compute opening points, validate with okey.</t>
  </si>
  <si>
    <t>T-0016, T-0017</t>
  </si>
  <si>
    <t>Utilities pass unit tests and used by both rules + AI.</t>
  </si>
  <si>
    <t>T-0032</t>
  </si>
  <si>
    <t>Implement indicator/okey logic</t>
  </si>
  <si>
    <t>Set indicator tile; determine real okey tile; handle fake okey tile behavior.</t>
  </si>
  <si>
    <t>T-0010, T-0001</t>
  </si>
  <si>
    <t>Correct okey computed for all indicators including edge values.</t>
  </si>
  <si>
    <t>T-0033</t>
  </si>
  <si>
    <t>Implement turn/phase state machine</t>
  </si>
  <si>
    <t>Phases: must_draw, may_meld, must_discard, round_end; enforce via validation.</t>
  </si>
  <si>
    <t>No illegal phase transitions possible.</t>
  </si>
  <si>
    <t>T-0034</t>
  </si>
  <si>
    <t>Implement error reason codes + localization keys</t>
  </si>
  <si>
    <t>Enumerate validation failure reasons; map to user-facing strings later.</t>
  </si>
  <si>
    <t>All validation failures use a reason code.</t>
  </si>
  <si>
    <t>T-0035</t>
  </si>
  <si>
    <t>Game Setup</t>
  </si>
  <si>
    <t>Offline game setup screen</t>
  </si>
  <si>
    <t>Choose player count, bot count, bot difficulty, bot personalities (random default), house rules, match format, timer.</t>
  </si>
  <si>
    <t>T-0002, T-0018</t>
  </si>
  <si>
    <t>User can start offline game with chosen config.</t>
  </si>
  <si>
    <t>T-0036</t>
  </si>
  <si>
    <t>Controller</t>
  </si>
  <si>
    <t>Local host game controller</t>
  </si>
  <si>
    <t>Single-player/offline host applies intents locally; drives UI events.</t>
  </si>
  <si>
    <t>Offline loop supports full game end-to-end without UI polish.</t>
  </si>
  <si>
    <t>T-0037</t>
  </si>
  <si>
    <t>Undo button + rules (offline only)</t>
  </si>
  <si>
    <t>UI + controller integration for undo; block undo after info-revealing steps if needed.</t>
  </si>
  <si>
    <t>Undo works and is disabled appropriately.</t>
  </si>
  <si>
    <t>T-0038</t>
  </si>
  <si>
    <t>Persistence</t>
  </si>
  <si>
    <t>Settings persistence</t>
  </si>
  <si>
    <t>Save user settings: sound, accessibility, tips shown, last rules preset.</t>
  </si>
  <si>
    <t>Settings persist between sessions.</t>
  </si>
  <si>
    <t>T-0039</t>
  </si>
  <si>
    <t>Tips</t>
  </si>
  <si>
    <t>First-game onboarding tips overlay (skippable)</t>
  </si>
  <si>
    <t>Guided overlay explaining draw/discard/meld/open; can skip; never forced again.</t>
  </si>
  <si>
    <t>T-0005, T-0033</t>
  </si>
  <si>
    <t>Tips show once; can be skipped; respects minimal verbosity later.</t>
  </si>
  <si>
    <t>T-0040</t>
  </si>
  <si>
    <t>UI</t>
  </si>
  <si>
    <t>Framework</t>
  </si>
  <si>
    <t>Implement UI event bus &amp; state-to-UI binding</t>
  </si>
  <si>
    <t>Listen to GameState events/deltas; update UI declaratively; avoid logic in view.</t>
  </si>
  <si>
    <t>UI updates driven by events; minimal direct state mutation.</t>
  </si>
  <si>
    <t>T-0041</t>
  </si>
  <si>
    <t>Table</t>
  </si>
  <si>
    <t>Game table layout (landscape)</t>
  </si>
  <si>
    <t>Create table scene with areas: player hand, meld area, deck/discard, opponent panels.</t>
  </si>
  <si>
    <t>Table scales to multiple resolutions; safe margins.</t>
  </si>
  <si>
    <t>T-0042</t>
  </si>
  <si>
    <t>Tiles</t>
  </si>
  <si>
    <t>Tile visual component</t>
  </si>
  <si>
    <t>Crisp flat tile art placeholder + numbers/colors; selection states; disabled state.</t>
  </si>
  <si>
    <t>Tile style consistent; readable on mobile.</t>
  </si>
  <si>
    <t>T-0043</t>
  </si>
  <si>
    <t>Input</t>
  </si>
  <si>
    <t>Tap-select interaction (baseline)</t>
  </si>
  <si>
    <t>Tap tile to select; buttons to meld/discard; long-press to inspect.</t>
  </si>
  <si>
    <t>T-0032, T-0031</t>
  </si>
  <si>
    <t>All core actions can be performed without drag.</t>
  </si>
  <si>
    <t>T-0044</t>
  </si>
  <si>
    <t>Drag &amp; drop interaction (optional)</t>
  </si>
  <si>
    <t>Support dragging tiles to meld area/discard; fallback to tap-select always works.</t>
  </si>
  <si>
    <t>Drag works on PC and touch; no accidental drops.</t>
  </si>
  <si>
    <t>T-0045</t>
  </si>
  <si>
    <t>HUD</t>
  </si>
  <si>
    <t>Action buttons + turn/timer display</t>
  </si>
  <si>
    <t>Buttons: Draw, Meld/Open, Discard, End Round; show whose turn; timer slider support.</t>
  </si>
  <si>
    <t>T-0030, T-0015</t>
  </si>
  <si>
    <t>Buttons enable/disable correctly by phase and authority.</t>
  </si>
  <si>
    <t>T-0046</t>
  </si>
  <si>
    <t>Feedback</t>
  </si>
  <si>
    <t>Toast + error display with verbosity setting</t>
  </si>
  <si>
    <t>Minimal illegal toast; optional 'Why?' expansion; onboarding overrides verbosity.</t>
  </si>
  <si>
    <t>T-0027, T-0040</t>
  </si>
  <si>
    <t>Errors are understandable; can be minimal for experienced play.</t>
  </si>
  <si>
    <t>T-0047</t>
  </si>
  <si>
    <t>Animations</t>
  </si>
  <si>
    <t>Animation system (skippable)</t>
  </si>
  <si>
    <t>Animate draw/discard/meld; allow tap to skip/fast-forward; keep game snappy.</t>
  </si>
  <si>
    <t>T-0017, T-0031</t>
  </si>
  <si>
    <t>Animations never block input; skip works; feels 'Balatro snappy'.</t>
  </si>
  <si>
    <t>T-0048</t>
  </si>
  <si>
    <t>Menus</t>
  </si>
  <si>
    <t>Main menu + navigation</t>
  </si>
  <si>
    <t>Main menu: Offline, Online, Settings, Credits; simple transitions.</t>
  </si>
  <si>
    <t>All screens reachable; back navigation works on Android.</t>
  </si>
  <si>
    <t>T-0049</t>
  </si>
  <si>
    <t>Settings screen</t>
  </si>
  <si>
    <t>Settings: sound, music, tips verbosity, accessibility options, animation speed.</t>
  </si>
  <si>
    <t>Settings apply immediately and persist.</t>
  </si>
  <si>
    <t>T-0050</t>
  </si>
  <si>
    <t>Round summary screen</t>
  </si>
  <si>
    <t>Show scoring breakdown, penalties, cumulative match; next round button.</t>
  </si>
  <si>
    <t>Summary matches scoring; readable on mobile.</t>
  </si>
  <si>
    <t>T-0051</t>
  </si>
  <si>
    <t>AI</t>
  </si>
  <si>
    <t>Bot seat controller integration</t>
  </si>
  <si>
    <t>Bots act as players; schedule bot think time; send intents to host controller (offline/online).</t>
  </si>
  <si>
    <t>T-0026, T-0017</t>
  </si>
  <si>
    <t>Bots can take turns in offline game without UI errors.</t>
  </si>
  <si>
    <t>T-0052</t>
  </si>
  <si>
    <t>Heuristics</t>
  </si>
  <si>
    <t>Hand evaluation scoring function</t>
  </si>
  <si>
    <t>Compute usefulness score per tile; considers runs/sets potential, seen discards, opening progress.</t>
  </si>
  <si>
    <t>Function returns stable scores; unit tests for sample hands.</t>
  </si>
  <si>
    <t>T-0053</t>
  </si>
  <si>
    <t>Moves</t>
  </si>
  <si>
    <t>Meld/open move generator</t>
  </si>
  <si>
    <t>Generate candidate meld sets for opening and extension; choose best by heuristic.</t>
  </si>
  <si>
    <t>T-0025, T-0052</t>
  </si>
  <si>
    <t>Bot finds obvious melds; respects RuleConfig.</t>
  </si>
  <si>
    <t>T-0054</t>
  </si>
  <si>
    <t>Discard selection logic</t>
  </si>
  <si>
    <t>Rank discards; avoid feeding next player; adjust by personality + difficulty.</t>
  </si>
  <si>
    <t>Bots discard sensibly; difficulty changes behavior.</t>
  </si>
  <si>
    <t>T-0055</t>
  </si>
  <si>
    <t>Difficulty tuning (Easy/Med/Hard)</t>
  </si>
  <si>
    <t>Tune randomness, search depth, risk thresholds, think delay per difficulty.</t>
  </si>
  <si>
    <t>T-0053, T-0054</t>
  </si>
  <si>
    <t>Difficulty levels feel distinct in playtests.</t>
  </si>
  <si>
    <t>T-0056</t>
  </si>
  <si>
    <t>Personality</t>
  </si>
  <si>
    <t>Personality profiles (Aggressive/Conservative/Chaotic)</t>
  </si>
  <si>
    <t>Implement 3 personality weight sets; random by default; optional selection.</t>
  </si>
  <si>
    <t>Personalities visibly differ over multiple rounds.</t>
  </si>
  <si>
    <t>T-0057</t>
  </si>
  <si>
    <t>Testing</t>
  </si>
  <si>
    <t>Bot regression tests</t>
  </si>
  <si>
    <t>Simulate many random games headless to detect illegal actions and crashes.</t>
  </si>
  <si>
    <t>T-0015, T-0051</t>
  </si>
  <si>
    <t>No illegal bot actions; crash-free over N games.</t>
  </si>
  <si>
    <t>T-0058</t>
  </si>
  <si>
    <t>EOS</t>
  </si>
  <si>
    <t>Add EOS plugin to project</t>
  </si>
  <si>
    <t>Import EOSG plugin, configure project settings, ensure Windows/Android builds include native libs.</t>
  </si>
  <si>
    <t>T-0008, T-0011</t>
  </si>
  <si>
    <t>Project runs with EOS init in editor and exported builds.</t>
  </si>
  <si>
    <t>T-0059</t>
  </si>
  <si>
    <t>EOS initialization + config loading</t>
  </si>
  <si>
    <t>Load Product ID/Sandbox/Deployment/Client IDs from config; safe for dev vs release.</t>
  </si>
  <si>
    <t>EOS initializes; errors surfaced; config editable in Settings sheet.</t>
  </si>
  <si>
    <t>T-0060</t>
  </si>
  <si>
    <t>Identity</t>
  </si>
  <si>
    <t>Guest login via Device ID</t>
  </si>
  <si>
    <t>Implement Connect DeviceID: create device id if needed, login, display player name prompt.</t>
  </si>
  <si>
    <t>User can play online without Epic account; identity persists per device.</t>
  </si>
  <si>
    <t>T-0061</t>
  </si>
  <si>
    <t>Lobbies</t>
  </si>
  <si>
    <t>Create lobby (host) with RuleConfig + match settings</t>
  </si>
  <si>
    <t>Host creates EOS lobby; stores rule hash/config, match format, timer, max players=4.</t>
  </si>
  <si>
    <t>T-0018, T-0022, T-0060</t>
  </si>
  <si>
    <t>Lobby created; others can join; metadata correct.</t>
  </si>
  <si>
    <t>T-0062</t>
  </si>
  <si>
    <t>Join lobby + ready system</t>
  </si>
  <si>
    <t>Client joins via lobby ID/invite code; ready toggles; show players list.</t>
  </si>
  <si>
    <t>Join/leave works; host sees changes; ready gating.</t>
  </si>
  <si>
    <t>T-0063</t>
  </si>
  <si>
    <t>P2P</t>
  </si>
  <si>
    <t>P2P socket layer for intents/deltas</t>
  </si>
  <si>
    <t>Build send/receive layer over EOS P2P; reliable ordered channel for turn-based.</t>
  </si>
  <si>
    <t>T-0019, T-0061, T-0062</t>
  </si>
  <si>
    <t>Messages delivered; basic latency simulation ok.</t>
  </si>
  <si>
    <t>T-0064</t>
  </si>
  <si>
    <t>Authority</t>
  </si>
  <si>
    <t>Host-authoritative game controller (online)</t>
  </si>
  <si>
    <t>Host applies intents, broadcasts deltas; clients only send intents; enforce turn ownership.</t>
  </si>
  <si>
    <t>T-0017, T-0064</t>
  </si>
  <si>
    <t>2-4 players can finish a full match with no desync.</t>
  </si>
  <si>
    <t>T-0065</t>
  </si>
  <si>
    <t>Sync</t>
  </si>
  <si>
    <t>Snapshot resync &amp; versioning</t>
  </si>
  <si>
    <t>Add snapshot request/response; include state version; recover from missed deltas.</t>
  </si>
  <si>
    <t>T-0019, T-0065</t>
  </si>
  <si>
    <t>Client can resync mid-game; versions monotonically increase.</t>
  </si>
  <si>
    <t>T-0066</t>
  </si>
  <si>
    <t>Online lobby screen UI</t>
  </si>
  <si>
    <t>Implement lobby UI: create/join, code display, player list, ready, start button (host only).</t>
  </si>
  <si>
    <t>T-0047, T-0061, T-0062</t>
  </si>
  <si>
    <t>Lobby UI works on PC and Android landscape.</t>
  </si>
  <si>
    <t>T-0067</t>
  </si>
  <si>
    <t>Resilience</t>
  </si>
  <si>
    <t>Disconnects</t>
  </si>
  <si>
    <t>Detect disconnects and trigger AI takeover immediately</t>
  </si>
  <si>
    <t>Monitor EOS lobby member status / P2P timeouts; when peer gone, mark seat AI-controlled instantly.</t>
  </si>
  <si>
    <t>T-0065, T-0051</t>
  </si>
  <si>
    <t>Game never stalls on disconnect; AI continues legally.</t>
  </si>
  <si>
    <t>T-0068</t>
  </si>
  <si>
    <t>Reconnect</t>
  </si>
  <si>
    <t>Reconnect flow + reclaim on next turn</t>
  </si>
  <si>
    <t>Returning player rejoins lobby, requests snapshot; seat reclaimed at start of their next turn.</t>
  </si>
  <si>
    <t>T-0066, T-0067</t>
  </si>
  <si>
    <t>Player can rejoin and resume; no double-control.</t>
  </si>
  <si>
    <t>T-0069</t>
  </si>
  <si>
    <t>Move log for catch-up</t>
  </si>
  <si>
    <t>Maintain compact move log (last N actions) to show what happened during disconnect.</t>
  </si>
  <si>
    <t>T-0017, T-0065</t>
  </si>
  <si>
    <t>Returning player sees concise history; log bounded.</t>
  </si>
  <si>
    <t>T-0070</t>
  </si>
  <si>
    <t>Timeouts</t>
  </si>
  <si>
    <t>Timer enforcement + auto-actions</t>
  </si>
  <si>
    <t>If timer enabled, enforce on host; on timeout choose safe default actions or bot takeover for that turn.</t>
  </si>
  <si>
    <t>T-0040, T-0065</t>
  </si>
  <si>
    <t>No deadlocks; actions deterministic; UI displays timeout reason.</t>
  </si>
  <si>
    <t>T-0071</t>
  </si>
  <si>
    <t>Security</t>
  </si>
  <si>
    <t>Basic anti-cheat checks</t>
  </si>
  <si>
    <t>Validate intent sender matches seat; reject illegal deltas; rate-limit spam.</t>
  </si>
  <si>
    <t>T-0016, T-0065</t>
  </si>
  <si>
    <t>Cheat attempts rejected; logs record incidents.</t>
  </si>
  <si>
    <t>T-0072</t>
  </si>
  <si>
    <t>Polish</t>
  </si>
  <si>
    <t>Add SFX set (draw/discard/meld/win/lose/UI)</t>
  </si>
  <si>
    <t>Implement audio bus; volume sliders; add basic SFX placeholders.</t>
  </si>
  <si>
    <t>SFX plays; can be muted; no clipping.</t>
  </si>
  <si>
    <t>T-0073</t>
  </si>
  <si>
    <t>Accessibility</t>
  </si>
  <si>
    <t>Colorblind-friendly palette option</t>
  </si>
  <si>
    <t>Alternate tile color palette + patterns/icons; ensure contrast.</t>
  </si>
  <si>
    <t>Colorblind mode toggles; tiles remain distinguishable.</t>
  </si>
  <si>
    <t>T-0074</t>
  </si>
  <si>
    <t>Large numbers / UI scale option</t>
  </si>
  <si>
    <t>Option to increase tile label size and UI scaling.</t>
  </si>
  <si>
    <t>Text readable on small phones; no overlap.</t>
  </si>
  <si>
    <t>T-0075</t>
  </si>
  <si>
    <t>Performance</t>
  </si>
  <si>
    <t>Optimize tile rendering &amp; pooling</t>
  </si>
  <si>
    <t>Pool tile nodes; avoid layout thrash; keep 60fps on mid Android.</t>
  </si>
  <si>
    <t>T-0032, T-0042</t>
  </si>
  <si>
    <t>Stable FPS; memory allocations reduced.</t>
  </si>
  <si>
    <t>T-0076</t>
  </si>
  <si>
    <t>Animation speed settings (Normal/Fast/Off)</t>
  </si>
  <si>
    <t>Let users control animation pacing; keep defaults snappy.</t>
  </si>
  <si>
    <t>T-0042, T-0048</t>
  </si>
  <si>
    <t>Setting affects all animations; no desync online.</t>
  </si>
  <si>
    <t>T-0077</t>
  </si>
  <si>
    <t>Finalize tile art (flat crisp)</t>
  </si>
  <si>
    <t>Replace placeholder tiles with final vector-style assets; ensure readability.</t>
  </si>
  <si>
    <t>T-0032, T-0006</t>
  </si>
  <si>
    <t>Final tiles in-game; consistent style across UI.</t>
  </si>
  <si>
    <t>T-0078</t>
  </si>
  <si>
    <t>In-game help screen (rules summary)</t>
  </si>
  <si>
    <t>Short rules summary and controls help accessible from pause menu.</t>
  </si>
  <si>
    <t>Help is concise and accurate; accessible offline and online.</t>
  </si>
  <si>
    <t>T-0079</t>
  </si>
  <si>
    <t>Matrix</t>
  </si>
  <si>
    <t>Create test matrix (PC/Android; Offline/Online; 2-4p)</t>
  </si>
  <si>
    <t>Define test cases covering setup, actions, scoring, disconnects, timers, undo.</t>
  </si>
  <si>
    <t>T-0001, T-0004</t>
  </si>
  <si>
    <t>Matrix covers all core features; prioritized smoke list exists.</t>
  </si>
  <si>
    <t>T-0080</t>
  </si>
  <si>
    <t>Automated rules unit tests</t>
  </si>
  <si>
    <t>Create sample hands/rounds to assert validation and scoring.</t>
  </si>
  <si>
    <t>T-0016, T-0018</t>
  </si>
  <si>
    <t>Tests pass; catch regressions; run in CI or locally.</t>
  </si>
  <si>
    <t>T-0081</t>
  </si>
  <si>
    <t>Multiplayer soak tests</t>
  </si>
  <si>
    <t>Simulate games with random intents; packet loss; reconnects; long sessions.</t>
  </si>
  <si>
    <t>T-0065, T-0067</t>
  </si>
  <si>
    <t>No desync; no crashes after N matches.</t>
  </si>
  <si>
    <t>T-0082</t>
  </si>
  <si>
    <t>Playtest pass &amp; balancing notes</t>
  </si>
  <si>
    <t>Human playtests: fun factor, bot personalities, timer defaults, UI friction.</t>
  </si>
  <si>
    <t>T-0056, T-0042</t>
  </si>
  <si>
    <t>Actionable list of changes; top 10 issues fixed.</t>
  </si>
  <si>
    <t>T-0083</t>
  </si>
  <si>
    <t>Bugs</t>
  </si>
  <si>
    <t>Bug triage board + release criteria</t>
  </si>
  <si>
    <t>Define P0/P1 bug criteria; ship checklist; crash-free requirements.</t>
  </si>
  <si>
    <t>Release checklist exists; bugs categorized and tracked.</t>
  </si>
  <si>
    <t>T-0084</t>
  </si>
  <si>
    <t>Release</t>
  </si>
  <si>
    <t>Builds</t>
  </si>
  <si>
    <t>Automated build scripts</t>
  </si>
  <si>
    <t>Create scripts for version bumping, exporting PC + Android builds, zipping artifacts.</t>
  </si>
  <si>
    <t>T-0008, T-0009</t>
  </si>
  <si>
    <t>One command produces exports; version embedded.</t>
  </si>
  <si>
    <t>T-0085</t>
  </si>
  <si>
    <t>Android signing + AAB/APK generation</t>
  </si>
  <si>
    <t>Finalize keystore; configure gradle; generate signed AAB/APK.</t>
  </si>
  <si>
    <t>Signed build installs; Play Console upload check passes.</t>
  </si>
  <si>
    <t>T-0086</t>
  </si>
  <si>
    <t>Windows/Linux packaging</t>
  </si>
  <si>
    <t>Create release folder structure; include licenses; optional installer later.</t>
  </si>
  <si>
    <t>PC builds run on clean machine; no missing DLLs.</t>
  </si>
  <si>
    <t>T-0087</t>
  </si>
  <si>
    <t>Telemetry</t>
  </si>
  <si>
    <t>Crash reporting plan (optional)</t>
  </si>
  <si>
    <t>Decide if any crash reporting is used; if none, ensure logs accessible.</t>
  </si>
  <si>
    <t>Decision recorded; privacy impact understood.</t>
  </si>
  <si>
    <t>T-0088</t>
  </si>
  <si>
    <t>Versioning</t>
  </si>
  <si>
    <t>Changelog + semantic versioning</t>
  </si>
  <si>
    <t>Define version scheme; maintain changelog; embed build number in UI.</t>
  </si>
  <si>
    <t>Version visible in settings; changelog maintained.</t>
  </si>
  <si>
    <t>T-0089</t>
  </si>
  <si>
    <t>Store</t>
  </si>
  <si>
    <t>Assets</t>
  </si>
  <si>
    <t>Create app icon + feature graphic</t>
  </si>
  <si>
    <t>Design icon consistent with flat style; export required sizes.</t>
  </si>
  <si>
    <t>Icon meets platform guidelines; readable at small size.</t>
  </si>
  <si>
    <t>T-0090</t>
  </si>
  <si>
    <t>Capture screenshots + short trailer (optional)</t>
  </si>
  <si>
    <t>Take PC + Android screenshots; record 10-20s clip; add captions.</t>
  </si>
  <si>
    <t>T-0078, T-0065</t>
  </si>
  <si>
    <t>Screenshots cover key features; no placeholder art.</t>
  </si>
  <si>
    <t>T-0091</t>
  </si>
  <si>
    <t>Copy</t>
  </si>
  <si>
    <t>Write store description (PC + Android)</t>
  </si>
  <si>
    <t>Short description, feature bullets, online/offline details, rule variants.</t>
  </si>
  <si>
    <t>T-0001, T-0061</t>
  </si>
  <si>
    <t>Copy is clear; no misleading claims.</t>
  </si>
  <si>
    <t>T-0092</t>
  </si>
  <si>
    <t>Legal</t>
  </si>
  <si>
    <t>Privacy policy + EOS disclosure</t>
  </si>
  <si>
    <t>Draft privacy policy explaining data usage (EOS services, device id).</t>
  </si>
  <si>
    <t>Policy ready; store listing references it.</t>
  </si>
  <si>
    <t>T-0093</t>
  </si>
  <si>
    <t>Beta distribution plan</t>
  </si>
  <si>
    <t>Plan closed beta/testflight-style for Android; itch.io beta for PC.</t>
  </si>
  <si>
    <t>Beta steps documented; testers invited.</t>
  </si>
  <si>
    <t>Stage Start</t>
  </si>
  <si>
    <t>Stage End</t>
  </si>
  <si>
    <t>Duration (d)</t>
  </si>
  <si>
    <t>Stage Gantt (based on Start Offset + Duration)</t>
  </si>
  <si>
    <t>Dashboard</t>
  </si>
  <si>
    <t>Tasks by Status</t>
  </si>
  <si>
    <t>Count</t>
  </si>
  <si>
    <t>Tasks by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</si>
</sst>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8" x14ac:knownFonts="1">
    <font>
      <sz val="11"/>
      <color theme="1"/>
      <name val="Calibri"/>
      <family val="2"/>
      <scheme val="minor"/>
    </font>
    <font>
      <b/>
      <sz val="16"/>
      <name val="Calibri"/>
    </font>
    <font>
      <b/>
      <sz val="12"/>
      <name val="Calibri"/>
    </font>
    <font>
      <sz val="11"/>
      <name val="Calibri"/>
    </font>
    <font>
      <b/>
      <sz val="14"/>
      <name val="Calibri"/>
    </font>
    <font>
      <b/>
      <sz val="11"/>
      <name val="Calibri"/>
    </font>
    <font>
      <sz val="11"/>
      <color rgb="FF0000FF"/>
      <name val="Calibri"/>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applyAlignment="1">
      <alignment horizontal="left" vertical="center"/>
    </xf>
    <xf numFmtId="0" fontId="6" fillId="0" borderId="0" xfId="0" applyFont="1" applyAlignment="1">
      <alignment horizontal="left" vertical="center"/>
    </xf>
    <xf numFmtId="164" fontId="6" fillId="0" borderId="0" xfId="0" applyNumberFormat="1" applyFont="1" applyAlignment="1">
      <alignment horizontal="left" vertical="center"/>
    </xf>
    <xf numFmtId="0" fontId="5" fillId="0" borderId="0" xfId="0" applyFont="1"/>
    <xf numFmtId="0" fontId="7"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wrapText="1"/>
    </xf>
    <xf numFmtId="1"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0" fillId="0" borderId="1" xfId="0" applyNumberFormat="1" applyBorder="1"/>
  </cellXfs>
  <cellStyles count="1">
    <cellStyle name="Normal" xfId="0" builtinId="0"/>
  </cellStyles>
  <dxfs count="10">
    <dxf>
      <fill>
        <patternFill>
          <bgColor rgb="FFC6EFCE"/>
        </patternFill>
      </fill>
    </dxf>
    <dxf>
      <fill>
        <patternFill>
          <bgColor rgb="FFE2EFDA"/>
        </patternFill>
      </fill>
    </dxf>
    <dxf>
      <fill>
        <patternFill>
          <bgColor rgb="FFF8CBAD"/>
        </patternFill>
      </fill>
    </dxf>
    <dxf>
      <fill>
        <patternFill>
          <bgColor rgb="FFFFF2CC"/>
        </patternFill>
      </fill>
    </dxf>
    <dxf>
      <fill>
        <patternFill>
          <bgColor rgb="FFD9E1F2"/>
        </patternFill>
      </fill>
    </dxf>
    <dxf>
      <fill>
        <patternFill>
          <bgColor rgb="FFF2F2F2"/>
        </patternFill>
      </fill>
    </dxf>
    <dxf>
      <fill>
        <patternFill>
          <bgColor rgb="FFC6EFCE"/>
        </patternFill>
      </fill>
    </dxf>
    <dxf>
      <fill>
        <patternFill>
          <bgColor rgb="FFFFEB9C"/>
        </patternFill>
      </fill>
    </dxf>
    <dxf>
      <fill>
        <patternFill>
          <bgColor rgb="FFFFC7CE"/>
        </patternFill>
      </fill>
    </dxf>
    <dxf>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de-DE"/>
              <a:t>Stage Timeline (days from project start)</a:t>
            </a:r>
          </a:p>
        </c:rich>
      </c:tx>
      <c:overlay val="0"/>
    </c:title>
    <c:autoTitleDeleted val="0"/>
    <c:plotArea>
      <c:layout/>
      <c:barChart>
        <c:barDir val="bar"/>
        <c:grouping val="stacked"/>
        <c:varyColors val="1"/>
        <c:ser>
          <c:idx val="0"/>
          <c:order val="0"/>
          <c:tx>
            <c:strRef>
              <c:f>Gantt!$B$2</c:f>
              <c:strCache>
                <c:ptCount val="1"/>
                <c:pt idx="0">
                  <c:v>Start Offset (d)</c:v>
                </c:pt>
              </c:strCache>
            </c:strRef>
          </c:tx>
          <c:spPr>
            <a:noFill/>
            <a:ln/>
          </c:spPr>
          <c:invertIfNegative val="1"/>
          <c:cat>
            <c:strRef>
              <c:f>Gantt!$A$3:$A$14</c:f>
              <c:strCache>
                <c:ptCount val="12"/>
                <c:pt idx="0">
                  <c:v>0 - Preproduction (Spec &amp; Design Lock)</c:v>
                </c:pt>
                <c:pt idx="1">
                  <c:v>1 - Project Setup &amp; Tooling</c:v>
                </c:pt>
                <c:pt idx="2">
                  <c:v>2 - Core Game Engine (Rules/State)</c:v>
                </c:pt>
                <c:pt idx="3">
                  <c:v>3 - Offline Gameplay Loop</c:v>
                </c:pt>
                <c:pt idx="4">
                  <c:v>4 - UI/UX &amp; Input</c:v>
                </c:pt>
                <c:pt idx="5">
                  <c:v>5 - Bots (AI)</c:v>
                </c:pt>
                <c:pt idx="6">
                  <c:v>6 - Online Multiplayer (EOS + P2P)</c:v>
                </c:pt>
                <c:pt idx="7">
                  <c:v>8 - Polish (Audio/Accessibility/Perf)</c:v>
                </c:pt>
                <c:pt idx="8">
                  <c:v>7 - Reconnect &amp; Resilience</c:v>
                </c:pt>
                <c:pt idx="9">
                  <c:v>9 - QA &amp; Test Matrix</c:v>
                </c:pt>
                <c:pt idx="10">
                  <c:v>10 - Builds &amp; Release Pipeline</c:v>
                </c:pt>
                <c:pt idx="11">
                  <c:v>11 - Store/Distribution Prep</c:v>
                </c:pt>
              </c:strCache>
            </c:strRef>
          </c:cat>
          <c:val>
            <c:numRef>
              <c:f>Gantt!$B$3:$B$14</c:f>
              <c:numCache>
                <c:formatCode>General</c:formatCode>
                <c:ptCount val="12"/>
                <c:pt idx="0">
                  <c:v>0</c:v>
                </c:pt>
                <c:pt idx="1">
                  <c:v>4</c:v>
                </c:pt>
                <c:pt idx="2">
                  <c:v>7</c:v>
                </c:pt>
                <c:pt idx="3">
                  <c:v>18</c:v>
                </c:pt>
                <c:pt idx="4">
                  <c:v>18</c:v>
                </c:pt>
                <c:pt idx="5">
                  <c:v>22</c:v>
                </c:pt>
                <c:pt idx="6">
                  <c:v>24</c:v>
                </c:pt>
                <c:pt idx="7">
                  <c:v>30</c:v>
                </c:pt>
                <c:pt idx="8">
                  <c:v>32</c:v>
                </c:pt>
                <c:pt idx="9">
                  <c:v>34</c:v>
                </c:pt>
                <c:pt idx="10">
                  <c:v>38</c:v>
                </c:pt>
                <c:pt idx="11">
                  <c:v>40</c:v>
                </c:pt>
              </c:numCache>
            </c:numRef>
          </c:val>
          <c:extLst>
            <c:ext xmlns:c16="http://schemas.microsoft.com/office/drawing/2014/chart" uri="{C3380CC4-5D6E-409C-BE32-E72D297353CC}">
              <c16:uniqueId val="{00000000-49EF-42DC-93ED-4F3F4D334AB6}"/>
            </c:ext>
          </c:extLst>
        </c:ser>
        <c:ser>
          <c:idx val="1"/>
          <c:order val="1"/>
          <c:tx>
            <c:strRef>
              <c:f>Gantt!$C$2</c:f>
              <c:strCache>
                <c:ptCount val="1"/>
                <c:pt idx="0">
                  <c:v>Duration (d)</c:v>
                </c:pt>
              </c:strCache>
            </c:strRef>
          </c:tx>
          <c:spPr>
            <a:ln/>
          </c:spPr>
          <c:invertIfNegative val="1"/>
          <c:cat>
            <c:strRef>
              <c:f>Gantt!$A$3:$A$14</c:f>
              <c:strCache>
                <c:ptCount val="12"/>
                <c:pt idx="0">
                  <c:v>0 - Preproduction (Spec &amp; Design Lock)</c:v>
                </c:pt>
                <c:pt idx="1">
                  <c:v>1 - Project Setup &amp; Tooling</c:v>
                </c:pt>
                <c:pt idx="2">
                  <c:v>2 - Core Game Engine (Rules/State)</c:v>
                </c:pt>
                <c:pt idx="3">
                  <c:v>3 - Offline Gameplay Loop</c:v>
                </c:pt>
                <c:pt idx="4">
                  <c:v>4 - UI/UX &amp; Input</c:v>
                </c:pt>
                <c:pt idx="5">
                  <c:v>5 - Bots (AI)</c:v>
                </c:pt>
                <c:pt idx="6">
                  <c:v>6 - Online Multiplayer (EOS + P2P)</c:v>
                </c:pt>
                <c:pt idx="7">
                  <c:v>8 - Polish (Audio/Accessibility/Perf)</c:v>
                </c:pt>
                <c:pt idx="8">
                  <c:v>7 - Reconnect &amp; Resilience</c:v>
                </c:pt>
                <c:pt idx="9">
                  <c:v>9 - QA &amp; Test Matrix</c:v>
                </c:pt>
                <c:pt idx="10">
                  <c:v>10 - Builds &amp; Release Pipeline</c:v>
                </c:pt>
                <c:pt idx="11">
                  <c:v>11 - Store/Distribution Prep</c:v>
                </c:pt>
              </c:strCache>
            </c:strRef>
          </c:cat>
          <c:val>
            <c:numRef>
              <c:f>Gantt!$C$3:$C$14</c:f>
              <c:numCache>
                <c:formatCode>General</c:formatCode>
                <c:ptCount val="12"/>
                <c:pt idx="0">
                  <c:v>4</c:v>
                </c:pt>
                <c:pt idx="1">
                  <c:v>3</c:v>
                </c:pt>
                <c:pt idx="2">
                  <c:v>12</c:v>
                </c:pt>
                <c:pt idx="3">
                  <c:v>5</c:v>
                </c:pt>
                <c:pt idx="4">
                  <c:v>9</c:v>
                </c:pt>
                <c:pt idx="5">
                  <c:v>8</c:v>
                </c:pt>
                <c:pt idx="6">
                  <c:v>9</c:v>
                </c:pt>
                <c:pt idx="7">
                  <c:v>6</c:v>
                </c:pt>
                <c:pt idx="8">
                  <c:v>5</c:v>
                </c:pt>
                <c:pt idx="9">
                  <c:v>5</c:v>
                </c:pt>
                <c:pt idx="10">
                  <c:v>3</c:v>
                </c:pt>
                <c:pt idx="11">
                  <c:v>3</c:v>
                </c:pt>
              </c:numCache>
            </c:numRef>
          </c:val>
          <c:extLst>
            <c:ext xmlns:c16="http://schemas.microsoft.com/office/drawing/2014/chart" uri="{C3380CC4-5D6E-409C-BE32-E72D297353CC}">
              <c16:uniqueId val="{00000001-49EF-42DC-93ED-4F3F4D334AB6}"/>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l"/>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numFmt formatCode="General"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de-DE"/>
              <a:t>Status Breakdown</a:t>
            </a:r>
          </a:p>
        </c:rich>
      </c:tx>
      <c:overlay val="0"/>
    </c:title>
    <c:autoTitleDeleted val="0"/>
    <c:plotArea>
      <c:layout/>
      <c:pieChart>
        <c:varyColors val="1"/>
        <c:ser>
          <c:idx val="0"/>
          <c:order val="0"/>
          <c:tx>
            <c:strRef>
              <c:f>Dashboard!$B$4</c:f>
              <c:strCache>
                <c:ptCount val="1"/>
                <c:pt idx="0">
                  <c:v>Count</c:v>
                </c:pt>
              </c:strCache>
            </c:strRef>
          </c:tx>
          <c:spPr>
            <a:ln/>
          </c:spPr>
          <c:cat>
            <c:strRef>
              <c:f>Dashboard!$A$5:$A$10</c:f>
              <c:strCache>
                <c:ptCount val="6"/>
                <c:pt idx="0">
                  <c:v>Backlog</c:v>
                </c:pt>
                <c:pt idx="1">
                  <c:v>Planned</c:v>
                </c:pt>
                <c:pt idx="2">
                  <c:v>In Progress</c:v>
                </c:pt>
                <c:pt idx="3">
                  <c:v>Blocked</c:v>
                </c:pt>
                <c:pt idx="4">
                  <c:v>Review</c:v>
                </c:pt>
                <c:pt idx="5">
                  <c:v>Done</c:v>
                </c:pt>
              </c:strCache>
            </c:strRef>
          </c:cat>
          <c:val>
            <c:numRef>
              <c:f>Dashboard!$B$5:$B$10</c:f>
              <c:numCache>
                <c:formatCode>General</c:formatCode>
                <c:ptCount val="6"/>
                <c:pt idx="0">
                  <c:v>93</c:v>
                </c:pt>
                <c:pt idx="1">
                  <c:v>0</c:v>
                </c:pt>
                <c:pt idx="2">
                  <c:v>0</c:v>
                </c:pt>
                <c:pt idx="3">
                  <c:v>0</c:v>
                </c:pt>
                <c:pt idx="4">
                  <c:v>0</c:v>
                </c:pt>
                <c:pt idx="5">
                  <c:v>0</c:v>
                </c:pt>
              </c:numCache>
            </c:numRef>
          </c:val>
          <c:extLst>
            <c:ext xmlns:c16="http://schemas.microsoft.com/office/drawing/2014/chart" uri="{C3380CC4-5D6E-409C-BE32-E72D297353CC}">
              <c16:uniqueId val="{00000000-32EF-48B6-AD9A-03EA4E0EA358}"/>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82223146413409387"/>
          <c:y val="1.7625754634801784E-2"/>
          <c:w val="0.15971567041519152"/>
          <c:h val="0.30714071091479883"/>
        </c:manualLayout>
      </c:layout>
      <c:overlay val="1"/>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de-DE"/>
              <a:t>Tasks by Stage</a:t>
            </a:r>
          </a:p>
        </c:rich>
      </c:tx>
      <c:overlay val="0"/>
    </c:title>
    <c:autoTitleDeleted val="0"/>
    <c:plotArea>
      <c:layout/>
      <c:barChart>
        <c:barDir val="col"/>
        <c:grouping val="clustered"/>
        <c:varyColors val="1"/>
        <c:ser>
          <c:idx val="0"/>
          <c:order val="0"/>
          <c:tx>
            <c:strRef>
              <c:f>Dashboard!$B$15</c:f>
              <c:strCache>
                <c:ptCount val="1"/>
                <c:pt idx="0">
                  <c:v>Count</c:v>
                </c:pt>
              </c:strCache>
            </c:strRef>
          </c:tx>
          <c:spPr>
            <a:ln/>
          </c:spPr>
          <c:invertIfNegative val="1"/>
          <c:dLbls>
            <c:spPr>
              <a:noFill/>
              <a:ln>
                <a:noFill/>
              </a:ln>
              <a:effectLst/>
            </c:spPr>
            <c:txPr>
              <a:bodyPr anchor="ctr" anchorCtr="1"/>
              <a:lstStyle/>
              <a:p>
                <a:pPr>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Dashboard!$A$16:$A$27</c:f>
              <c:strCache>
                <c:ptCount val="12"/>
                <c:pt idx="0">
                  <c:v>0 - Preproduction (Spec &amp; Design Lock)</c:v>
                </c:pt>
                <c:pt idx="1">
                  <c:v>1 - Project Setup &amp; Tooling</c:v>
                </c:pt>
                <c:pt idx="2">
                  <c:v>2 - Core Game Engine (Rules/State)</c:v>
                </c:pt>
                <c:pt idx="3">
                  <c:v>3 - Offline Gameplay Loop</c:v>
                </c:pt>
                <c:pt idx="4">
                  <c:v>4 - UI/UX &amp; Input</c:v>
                </c:pt>
                <c:pt idx="5">
                  <c:v>5 - Bots (AI)</c:v>
                </c:pt>
                <c:pt idx="6">
                  <c:v>6 - Online Multiplayer (EOS + P2P)</c:v>
                </c:pt>
                <c:pt idx="7">
                  <c:v>7 - Reconnect &amp; Resilience</c:v>
                </c:pt>
                <c:pt idx="8">
                  <c:v>8 - Polish (Audio/Accessibility/Perf)</c:v>
                </c:pt>
                <c:pt idx="9">
                  <c:v>9 - QA &amp; Test Matrix</c:v>
                </c:pt>
                <c:pt idx="10">
                  <c:v>10 - Builds &amp; Release Pipeline</c:v>
                </c:pt>
                <c:pt idx="11">
                  <c:v>11 - Store/Distribution Prep</c:v>
                </c:pt>
              </c:strCache>
            </c:strRef>
          </c:cat>
          <c:val>
            <c:numRef>
              <c:f>Dashboard!$B$16:$B$27</c:f>
              <c:numCache>
                <c:formatCode>General</c:formatCode>
                <c:ptCount val="12"/>
                <c:pt idx="0">
                  <c:v>7</c:v>
                </c:pt>
                <c:pt idx="1">
                  <c:v>7</c:v>
                </c:pt>
                <c:pt idx="2">
                  <c:v>20</c:v>
                </c:pt>
                <c:pt idx="3">
                  <c:v>5</c:v>
                </c:pt>
                <c:pt idx="4">
                  <c:v>11</c:v>
                </c:pt>
                <c:pt idx="5">
                  <c:v>7</c:v>
                </c:pt>
                <c:pt idx="6">
                  <c:v>9</c:v>
                </c:pt>
                <c:pt idx="7">
                  <c:v>5</c:v>
                </c:pt>
                <c:pt idx="8">
                  <c:v>7</c:v>
                </c:pt>
                <c:pt idx="9">
                  <c:v>5</c:v>
                </c:pt>
                <c:pt idx="10">
                  <c:v>5</c:v>
                </c:pt>
                <c:pt idx="11">
                  <c:v>5</c:v>
                </c:pt>
              </c:numCache>
            </c:numRef>
          </c:val>
          <c:extLst>
            <c:ext xmlns:c16="http://schemas.microsoft.com/office/drawing/2014/chart" uri="{C3380CC4-5D6E-409C-BE32-E72D297353CC}">
              <c16:uniqueId val="{00000000-E5FF-435E-B7BA-209706D33CE9}"/>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General" sourceLinked="1"/>
        <c:majorTickMark val="none"/>
        <c:minorTickMark val="none"/>
        <c:tickLblPos val="nextTo"/>
        <c:crossAx val="48650112"/>
        <c:crosses val="autoZero"/>
        <c:crossBetween val="between"/>
      </c:valAx>
    </c:plotArea>
    <c:legend>
      <c:legendPos val="r"/>
      <c:layout>
        <c:manualLayout>
          <c:xMode val="edge"/>
          <c:yMode val="edge"/>
          <c:x val="0.66674241541273205"/>
          <c:y val="5.5607340580403161E-2"/>
          <c:w val="0.33325758458726795"/>
          <c:h val="0.36435886809695339"/>
        </c:manualLayout>
      </c:layout>
      <c:overlay val="1"/>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333375</xdr:colOff>
      <xdr:row>1</xdr:row>
      <xdr:rowOff>114299</xdr:rowOff>
    </xdr:from>
    <xdr:to>
      <xdr:col>14</xdr:col>
      <xdr:colOff>257175</xdr:colOff>
      <xdr:row>23</xdr:row>
      <xdr:rowOff>133350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123824</xdr:colOff>
      <xdr:row>2</xdr:row>
      <xdr:rowOff>95249</xdr:rowOff>
    </xdr:from>
    <xdr:to>
      <xdr:col>12</xdr:col>
      <xdr:colOff>180975</xdr:colOff>
      <xdr:row>26</xdr:row>
      <xdr:rowOff>9525</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581024</xdr:colOff>
      <xdr:row>2</xdr:row>
      <xdr:rowOff>47625</xdr:rowOff>
    </xdr:from>
    <xdr:to>
      <xdr:col>24</xdr:col>
      <xdr:colOff>533400</xdr:colOff>
      <xdr:row>27</xdr:row>
      <xdr:rowOff>19050</xdr:rowOff>
    </xdr:to>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sTable" displayName="TasksTable" ref="A1:S94">
  <autoFilter ref="A1:S94" xr:uid="{00000000-0009-0000-0100-000001000000}"/>
  <tableColumns count="19">
    <tableColumn id="1" xr3:uid="{00000000-0010-0000-0000-000001000000}" name="ID"/>
    <tableColumn id="2" xr3:uid="{00000000-0010-0000-0000-000002000000}" name="Epic"/>
    <tableColumn id="3" xr3:uid="{00000000-0010-0000-0000-000003000000}" name="Feature"/>
    <tableColumn id="4" xr3:uid="{00000000-0010-0000-0000-000004000000}" name="Task"/>
    <tableColumn id="5" xr3:uid="{00000000-0010-0000-0000-000005000000}" name="Description"/>
    <tableColumn id="6" xr3:uid="{00000000-0010-0000-0000-000006000000}" name="Stage"/>
    <tableColumn id="7" xr3:uid="{00000000-0010-0000-0000-000007000000}" name="Type"/>
    <tableColumn id="8" xr3:uid="{00000000-0010-0000-0000-000008000000}" name="Platform"/>
    <tableColumn id="9" xr3:uid="{00000000-0010-0000-0000-000009000000}" name="Priority"/>
    <tableColumn id="10" xr3:uid="{00000000-0010-0000-0000-00000A000000}" name="Est (hrs)"/>
    <tableColumn id="11" xr3:uid="{00000000-0010-0000-0000-00000B000000}" name="Est (days)"/>
    <tableColumn id="12" xr3:uid="{00000000-0010-0000-0000-00000C000000}" name="Dependencies"/>
    <tableColumn id="13" xr3:uid="{00000000-0010-0000-0000-00000D000000}" name="Owner"/>
    <tableColumn id="14" xr3:uid="{00000000-0010-0000-0000-00000E000000}" name="Status"/>
    <tableColumn id="15" xr3:uid="{00000000-0010-0000-0000-00000F000000}" name="Start Offset (d)"/>
    <tableColumn id="16" xr3:uid="{00000000-0010-0000-0000-000010000000}" name="Start Date"/>
    <tableColumn id="17" xr3:uid="{00000000-0010-0000-0000-000011000000}" name="End Date"/>
    <tableColumn id="18" xr3:uid="{00000000-0010-0000-0000-000012000000}" name="Notes / Codex Prompt Seed"/>
    <tableColumn id="19" xr3:uid="{00000000-0010-0000-0000-000013000000}" name="Acceptance Criteri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agePlan" displayName="StagePlan" ref="A1:E13">
  <autoFilter ref="A1:E13" xr:uid="{00000000-0009-0000-0100-000002000000}"/>
  <tableColumns count="5">
    <tableColumn id="1" xr3:uid="{00000000-0010-0000-0100-000001000000}" name="Stage"/>
    <tableColumn id="2" xr3:uid="{00000000-0010-0000-0100-000002000000}" name="Stage Start"/>
    <tableColumn id="3" xr3:uid="{00000000-0010-0000-0100-000003000000}" name="Stage End"/>
    <tableColumn id="4" xr3:uid="{00000000-0010-0000-0100-000004000000}" name="Start Offset (d)"/>
    <tableColumn id="5" xr3:uid="{00000000-0010-0000-0100-000005000000}" name="Duration (d)"/>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showGridLines="0" tabSelected="1" workbookViewId="0"/>
  </sheetViews>
  <sheetFormatPr defaultRowHeight="15" x14ac:dyDescent="0.25"/>
  <cols>
    <col min="1" max="1" width="110" customWidth="1"/>
  </cols>
  <sheetData>
    <row r="1" spans="1:1" ht="21" x14ac:dyDescent="0.35">
      <c r="A1" s="1" t="s">
        <v>0</v>
      </c>
    </row>
    <row r="3" spans="1:1" ht="15.75" x14ac:dyDescent="0.25">
      <c r="A3" s="2" t="s">
        <v>1</v>
      </c>
    </row>
    <row r="4" spans="1:1" ht="260.10000000000002" customHeight="1" x14ac:dyDescent="0.25">
      <c r="A4" s="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showGridLines="0" topLeftCell="A6" workbookViewId="0"/>
  </sheetViews>
  <sheetFormatPr defaultRowHeight="15" x14ac:dyDescent="0.25"/>
  <cols>
    <col min="1" max="8" width="24" customWidth="1"/>
  </cols>
  <sheetData>
    <row r="1" spans="1:8" ht="18.75" x14ac:dyDescent="0.3">
      <c r="A1" s="4" t="s">
        <v>3</v>
      </c>
    </row>
    <row r="3" spans="1:8" ht="18" customHeight="1" x14ac:dyDescent="0.25">
      <c r="A3" s="5" t="s">
        <v>4</v>
      </c>
      <c r="B3" s="6" t="s">
        <v>5</v>
      </c>
    </row>
    <row r="4" spans="1:8" ht="18" customHeight="1" x14ac:dyDescent="0.25">
      <c r="A4" s="5" t="s">
        <v>6</v>
      </c>
      <c r="B4" s="7">
        <v>46056</v>
      </c>
    </row>
    <row r="5" spans="1:8" ht="18" customHeight="1" x14ac:dyDescent="0.25">
      <c r="A5" s="5" t="s">
        <v>7</v>
      </c>
      <c r="B5" s="6">
        <v>14</v>
      </c>
    </row>
    <row r="6" spans="1:8" ht="18" customHeight="1" x14ac:dyDescent="0.25">
      <c r="A6" s="5" t="s">
        <v>8</v>
      </c>
      <c r="B6" s="6" t="s">
        <v>9</v>
      </c>
    </row>
    <row r="7" spans="1:8" ht="18" customHeight="1" x14ac:dyDescent="0.25">
      <c r="A7" s="5" t="s">
        <v>10</v>
      </c>
      <c r="B7" s="6" t="s">
        <v>11</v>
      </c>
    </row>
    <row r="8" spans="1:8" ht="18" customHeight="1" x14ac:dyDescent="0.25">
      <c r="A8" s="5" t="s">
        <v>12</v>
      </c>
      <c r="B8" s="6" t="s">
        <v>13</v>
      </c>
    </row>
    <row r="9" spans="1:8" ht="18" customHeight="1" x14ac:dyDescent="0.25">
      <c r="A9" s="5" t="s">
        <v>14</v>
      </c>
      <c r="B9" s="6" t="s">
        <v>15</v>
      </c>
    </row>
    <row r="10" spans="1:8" ht="18" customHeight="1" x14ac:dyDescent="0.25">
      <c r="A10" s="5" t="s">
        <v>16</v>
      </c>
      <c r="B10" s="6" t="s">
        <v>17</v>
      </c>
    </row>
    <row r="11" spans="1:8" ht="18" customHeight="1" x14ac:dyDescent="0.25">
      <c r="A11" s="5" t="s">
        <v>18</v>
      </c>
      <c r="B11" s="6" t="s">
        <v>19</v>
      </c>
    </row>
    <row r="12" spans="1:8" ht="18" customHeight="1" x14ac:dyDescent="0.25">
      <c r="A12" s="5" t="s">
        <v>20</v>
      </c>
      <c r="B12" s="6" t="s">
        <v>21</v>
      </c>
    </row>
    <row r="13" spans="1:8" ht="15.75" x14ac:dyDescent="0.25">
      <c r="A13" s="2" t="s">
        <v>22</v>
      </c>
    </row>
    <row r="14" spans="1:8" x14ac:dyDescent="0.25">
      <c r="A14" s="8" t="s">
        <v>23</v>
      </c>
      <c r="B14" s="8" t="s">
        <v>24</v>
      </c>
      <c r="C14" s="8" t="s">
        <v>25</v>
      </c>
      <c r="D14" s="8" t="s">
        <v>26</v>
      </c>
      <c r="E14" s="8" t="s">
        <v>27</v>
      </c>
      <c r="F14" s="8" t="s">
        <v>28</v>
      </c>
      <c r="G14" s="8" t="s">
        <v>29</v>
      </c>
      <c r="H14" s="8" t="s">
        <v>30</v>
      </c>
    </row>
    <row r="15" spans="1:8" x14ac:dyDescent="0.25">
      <c r="A15" t="s">
        <v>31</v>
      </c>
      <c r="B15" t="s">
        <v>32</v>
      </c>
      <c r="C15" t="s">
        <v>33</v>
      </c>
      <c r="D15" t="s">
        <v>34</v>
      </c>
      <c r="E15" t="s">
        <v>35</v>
      </c>
      <c r="F15" t="s">
        <v>36</v>
      </c>
      <c r="G15" t="s">
        <v>37</v>
      </c>
      <c r="H15" t="s">
        <v>38</v>
      </c>
    </row>
    <row r="16" spans="1:8" x14ac:dyDescent="0.25">
      <c r="A16" t="s">
        <v>39</v>
      </c>
      <c r="B16" t="s">
        <v>40</v>
      </c>
      <c r="C16" t="s">
        <v>41</v>
      </c>
      <c r="D16" t="s">
        <v>42</v>
      </c>
      <c r="E16" t="s">
        <v>43</v>
      </c>
      <c r="F16" t="s">
        <v>44</v>
      </c>
      <c r="G16" t="s">
        <v>45</v>
      </c>
      <c r="H16" t="s">
        <v>46</v>
      </c>
    </row>
    <row r="17" spans="1:8" x14ac:dyDescent="0.25">
      <c r="A17" t="s">
        <v>47</v>
      </c>
      <c r="B17" t="s">
        <v>48</v>
      </c>
      <c r="C17" t="s">
        <v>49</v>
      </c>
      <c r="D17" t="s">
        <v>50</v>
      </c>
      <c r="E17" t="s">
        <v>51</v>
      </c>
      <c r="F17" t="s">
        <v>52</v>
      </c>
      <c r="G17" t="s">
        <v>53</v>
      </c>
      <c r="H17" t="s">
        <v>54</v>
      </c>
    </row>
    <row r="18" spans="1:8" x14ac:dyDescent="0.25">
      <c r="A18" t="s">
        <v>55</v>
      </c>
      <c r="C18" t="s">
        <v>56</v>
      </c>
      <c r="D18" t="s">
        <v>57</v>
      </c>
      <c r="E18" t="s">
        <v>58</v>
      </c>
      <c r="F18" t="s">
        <v>59</v>
      </c>
      <c r="G18" t="s">
        <v>60</v>
      </c>
    </row>
    <row r="19" spans="1:8" x14ac:dyDescent="0.25">
      <c r="A19" t="s">
        <v>61</v>
      </c>
      <c r="C19" t="s">
        <v>62</v>
      </c>
      <c r="D19" t="s">
        <v>63</v>
      </c>
      <c r="F19" t="s">
        <v>64</v>
      </c>
    </row>
    <row r="20" spans="1:8" x14ac:dyDescent="0.25">
      <c r="A20" t="s">
        <v>65</v>
      </c>
      <c r="C20" t="s">
        <v>66</v>
      </c>
      <c r="F20" t="s">
        <v>67</v>
      </c>
    </row>
    <row r="21" spans="1:8" x14ac:dyDescent="0.25">
      <c r="C21" t="s">
        <v>68</v>
      </c>
      <c r="F21" t="s">
        <v>69</v>
      </c>
    </row>
    <row r="22" spans="1:8" x14ac:dyDescent="0.25">
      <c r="F22" t="s">
        <v>70</v>
      </c>
    </row>
    <row r="23" spans="1:8" x14ac:dyDescent="0.25">
      <c r="F23" t="s">
        <v>71</v>
      </c>
    </row>
    <row r="24" spans="1:8" x14ac:dyDescent="0.25">
      <c r="F24" t="s">
        <v>72</v>
      </c>
    </row>
    <row r="25" spans="1:8" x14ac:dyDescent="0.25">
      <c r="F25" t="s">
        <v>73</v>
      </c>
    </row>
    <row r="26" spans="1:8" x14ac:dyDescent="0.25">
      <c r="F26"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4"/>
  <sheetViews>
    <sheetView showGridLines="0" workbookViewId="0"/>
  </sheetViews>
  <sheetFormatPr defaultRowHeight="15" x14ac:dyDescent="0.25"/>
  <cols>
    <col min="1" max="1" width="9" customWidth="1"/>
    <col min="2" max="3" width="18" customWidth="1"/>
    <col min="4" max="4" width="28" customWidth="1"/>
    <col min="5" max="5" width="38" customWidth="1"/>
    <col min="6" max="6" width="26" customWidth="1"/>
    <col min="7" max="7" width="12" customWidth="1"/>
    <col min="8" max="8" width="10" customWidth="1"/>
    <col min="9" max="9" width="8" customWidth="1"/>
    <col min="10" max="10" width="9" customWidth="1"/>
    <col min="11" max="11" width="10" customWidth="1"/>
    <col min="12" max="12" width="18" customWidth="1"/>
    <col min="13" max="14" width="12" customWidth="1"/>
    <col min="15" max="15" width="15" customWidth="1"/>
    <col min="16" max="17" width="12" customWidth="1"/>
    <col min="18" max="19" width="34" customWidth="1"/>
  </cols>
  <sheetData>
    <row r="1" spans="1:19" x14ac:dyDescent="0.25">
      <c r="A1" s="9" t="s">
        <v>75</v>
      </c>
      <c r="B1" s="9" t="s">
        <v>76</v>
      </c>
      <c r="C1" s="9" t="s">
        <v>77</v>
      </c>
      <c r="D1" s="9" t="s">
        <v>78</v>
      </c>
      <c r="E1" s="9" t="s">
        <v>79</v>
      </c>
      <c r="F1" s="9" t="s">
        <v>28</v>
      </c>
      <c r="G1" s="9" t="s">
        <v>25</v>
      </c>
      <c r="H1" s="9" t="s">
        <v>26</v>
      </c>
      <c r="I1" s="9" t="s">
        <v>24</v>
      </c>
      <c r="J1" s="9" t="s">
        <v>80</v>
      </c>
      <c r="K1" s="9" t="s">
        <v>81</v>
      </c>
      <c r="L1" s="9" t="s">
        <v>82</v>
      </c>
      <c r="M1" s="9" t="s">
        <v>27</v>
      </c>
      <c r="N1" s="9" t="s">
        <v>23</v>
      </c>
      <c r="O1" s="9" t="s">
        <v>83</v>
      </c>
      <c r="P1" s="9" t="s">
        <v>84</v>
      </c>
      <c r="Q1" s="9" t="s">
        <v>85</v>
      </c>
      <c r="R1" s="9" t="s">
        <v>86</v>
      </c>
      <c r="S1" s="9" t="s">
        <v>87</v>
      </c>
    </row>
    <row r="2" spans="1:19" ht="54" customHeight="1" x14ac:dyDescent="0.25">
      <c r="A2" s="10" t="s">
        <v>88</v>
      </c>
      <c r="B2" s="10" t="s">
        <v>89</v>
      </c>
      <c r="C2" s="10" t="s">
        <v>90</v>
      </c>
      <c r="D2" s="10" t="s">
        <v>91</v>
      </c>
      <c r="E2" s="10" t="s">
        <v>92</v>
      </c>
      <c r="F2" s="10" t="s">
        <v>36</v>
      </c>
      <c r="G2" s="10" t="s">
        <v>33</v>
      </c>
      <c r="H2" s="10" t="s">
        <v>34</v>
      </c>
      <c r="I2" s="11" t="s">
        <v>32</v>
      </c>
      <c r="J2" s="12">
        <v>10</v>
      </c>
      <c r="K2" s="13">
        <v>2</v>
      </c>
      <c r="L2" s="10" t="s">
        <v>93</v>
      </c>
      <c r="M2" s="10" t="s">
        <v>51</v>
      </c>
      <c r="N2" s="10" t="s">
        <v>31</v>
      </c>
      <c r="O2" s="12">
        <v>0</v>
      </c>
      <c r="P2" s="14">
        <f>Settings!$B$4+O2</f>
        <v>46056</v>
      </c>
      <c r="Q2" s="14">
        <f t="shared" ref="Q2:Q33" si="0">P2+ROUNDUP(K2,0)-1</f>
        <v>46057</v>
      </c>
      <c r="R2" s="10" t="s">
        <v>94</v>
      </c>
      <c r="S2" s="10" t="s">
        <v>95</v>
      </c>
    </row>
    <row r="3" spans="1:19" ht="54" customHeight="1" x14ac:dyDescent="0.25">
      <c r="A3" s="10" t="s">
        <v>96</v>
      </c>
      <c r="B3" s="10" t="s">
        <v>89</v>
      </c>
      <c r="C3" s="10" t="s">
        <v>90</v>
      </c>
      <c r="D3" s="10" t="s">
        <v>97</v>
      </c>
      <c r="E3" s="10" t="s">
        <v>98</v>
      </c>
      <c r="F3" s="10" t="s">
        <v>36</v>
      </c>
      <c r="G3" s="10" t="s">
        <v>33</v>
      </c>
      <c r="H3" s="10" t="s">
        <v>34</v>
      </c>
      <c r="I3" s="11" t="s">
        <v>32</v>
      </c>
      <c r="J3" s="12">
        <v>6</v>
      </c>
      <c r="K3" s="13">
        <v>1</v>
      </c>
      <c r="L3" s="10" t="s">
        <v>93</v>
      </c>
      <c r="M3" s="10" t="s">
        <v>51</v>
      </c>
      <c r="N3" s="10" t="s">
        <v>31</v>
      </c>
      <c r="O3" s="12">
        <v>1</v>
      </c>
      <c r="P3" s="14">
        <f>Settings!$B$4+O3</f>
        <v>46057</v>
      </c>
      <c r="Q3" s="14">
        <f t="shared" si="0"/>
        <v>46057</v>
      </c>
      <c r="R3" s="10" t="s">
        <v>93</v>
      </c>
      <c r="S3" s="10" t="s">
        <v>99</v>
      </c>
    </row>
    <row r="4" spans="1:19" ht="54" customHeight="1" x14ac:dyDescent="0.25">
      <c r="A4" s="10" t="s">
        <v>100</v>
      </c>
      <c r="B4" s="10" t="s">
        <v>89</v>
      </c>
      <c r="C4" s="10" t="s">
        <v>101</v>
      </c>
      <c r="D4" s="10" t="s">
        <v>102</v>
      </c>
      <c r="E4" s="10" t="s">
        <v>103</v>
      </c>
      <c r="F4" s="10" t="s">
        <v>36</v>
      </c>
      <c r="G4" s="10" t="s">
        <v>33</v>
      </c>
      <c r="H4" s="10" t="s">
        <v>34</v>
      </c>
      <c r="I4" s="11" t="s">
        <v>32</v>
      </c>
      <c r="J4" s="12">
        <v>8</v>
      </c>
      <c r="K4" s="13">
        <v>2</v>
      </c>
      <c r="L4" s="10" t="s">
        <v>93</v>
      </c>
      <c r="M4" s="10" t="s">
        <v>51</v>
      </c>
      <c r="N4" s="10" t="s">
        <v>31</v>
      </c>
      <c r="O4" s="12">
        <v>1</v>
      </c>
      <c r="P4" s="14">
        <f>Settings!$B$4+O4</f>
        <v>46057</v>
      </c>
      <c r="Q4" s="14">
        <f t="shared" si="0"/>
        <v>46058</v>
      </c>
      <c r="R4" s="10" t="s">
        <v>93</v>
      </c>
      <c r="S4" s="10" t="s">
        <v>104</v>
      </c>
    </row>
    <row r="5" spans="1:19" ht="54" customHeight="1" x14ac:dyDescent="0.25">
      <c r="A5" s="10" t="s">
        <v>105</v>
      </c>
      <c r="B5" s="10" t="s">
        <v>89</v>
      </c>
      <c r="C5" s="10" t="s">
        <v>101</v>
      </c>
      <c r="D5" s="10" t="s">
        <v>106</v>
      </c>
      <c r="E5" s="10" t="s">
        <v>107</v>
      </c>
      <c r="F5" s="10" t="s">
        <v>36</v>
      </c>
      <c r="G5" s="10" t="s">
        <v>33</v>
      </c>
      <c r="H5" s="10" t="s">
        <v>50</v>
      </c>
      <c r="I5" s="11" t="s">
        <v>32</v>
      </c>
      <c r="J5" s="12">
        <v>6</v>
      </c>
      <c r="K5" s="13">
        <v>1</v>
      </c>
      <c r="L5" s="10" t="s">
        <v>93</v>
      </c>
      <c r="M5" s="10" t="s">
        <v>51</v>
      </c>
      <c r="N5" s="10" t="s">
        <v>31</v>
      </c>
      <c r="O5" s="12">
        <v>2</v>
      </c>
      <c r="P5" s="14">
        <f>Settings!$B$4+O5</f>
        <v>46058</v>
      </c>
      <c r="Q5" s="14">
        <f t="shared" si="0"/>
        <v>46058</v>
      </c>
      <c r="R5" s="10" t="s">
        <v>93</v>
      </c>
      <c r="S5" s="10" t="s">
        <v>108</v>
      </c>
    </row>
    <row r="6" spans="1:19" ht="54" customHeight="1" x14ac:dyDescent="0.25">
      <c r="A6" s="10" t="s">
        <v>109</v>
      </c>
      <c r="B6" s="10" t="s">
        <v>89</v>
      </c>
      <c r="C6" s="10" t="s">
        <v>110</v>
      </c>
      <c r="D6" s="10" t="s">
        <v>111</v>
      </c>
      <c r="E6" s="10" t="s">
        <v>112</v>
      </c>
      <c r="F6" s="10" t="s">
        <v>36</v>
      </c>
      <c r="G6" s="10" t="s">
        <v>33</v>
      </c>
      <c r="H6" s="10" t="s">
        <v>34</v>
      </c>
      <c r="I6" s="11" t="s">
        <v>32</v>
      </c>
      <c r="J6" s="12">
        <v>8</v>
      </c>
      <c r="K6" s="13">
        <v>2</v>
      </c>
      <c r="L6" s="10" t="s">
        <v>93</v>
      </c>
      <c r="M6" s="10" t="s">
        <v>51</v>
      </c>
      <c r="N6" s="10" t="s">
        <v>31</v>
      </c>
      <c r="O6" s="12">
        <v>2</v>
      </c>
      <c r="P6" s="14">
        <f>Settings!$B$4+O6</f>
        <v>46058</v>
      </c>
      <c r="Q6" s="14">
        <f t="shared" si="0"/>
        <v>46059</v>
      </c>
      <c r="R6" s="10" t="s">
        <v>93</v>
      </c>
      <c r="S6" s="10" t="s">
        <v>113</v>
      </c>
    </row>
    <row r="7" spans="1:19" ht="54" customHeight="1" x14ac:dyDescent="0.25">
      <c r="A7" s="10" t="s">
        <v>114</v>
      </c>
      <c r="B7" s="10" t="s">
        <v>89</v>
      </c>
      <c r="C7" s="10" t="s">
        <v>49</v>
      </c>
      <c r="D7" s="10" t="s">
        <v>115</v>
      </c>
      <c r="E7" s="10" t="s">
        <v>116</v>
      </c>
      <c r="F7" s="10" t="s">
        <v>36</v>
      </c>
      <c r="G7" s="10" t="s">
        <v>33</v>
      </c>
      <c r="H7" s="10" t="s">
        <v>34</v>
      </c>
      <c r="I7" s="11" t="s">
        <v>40</v>
      </c>
      <c r="J7" s="12">
        <v>4</v>
      </c>
      <c r="K7" s="13">
        <v>1</v>
      </c>
      <c r="L7" s="10" t="s">
        <v>93</v>
      </c>
      <c r="M7" s="10" t="s">
        <v>51</v>
      </c>
      <c r="N7" s="10" t="s">
        <v>31</v>
      </c>
      <c r="O7" s="12">
        <v>3</v>
      </c>
      <c r="P7" s="14">
        <f>Settings!$B$4+O7</f>
        <v>46059</v>
      </c>
      <c r="Q7" s="14">
        <f t="shared" si="0"/>
        <v>46059</v>
      </c>
      <c r="R7" s="10" t="s">
        <v>93</v>
      </c>
      <c r="S7" s="10" t="s">
        <v>117</v>
      </c>
    </row>
    <row r="8" spans="1:19" ht="54" customHeight="1" x14ac:dyDescent="0.25">
      <c r="A8" s="10" t="s">
        <v>118</v>
      </c>
      <c r="B8" s="10" t="s">
        <v>89</v>
      </c>
      <c r="C8" s="10" t="s">
        <v>31</v>
      </c>
      <c r="D8" s="10" t="s">
        <v>119</v>
      </c>
      <c r="E8" s="10" t="s">
        <v>120</v>
      </c>
      <c r="F8" s="10" t="s">
        <v>36</v>
      </c>
      <c r="G8" s="10" t="s">
        <v>33</v>
      </c>
      <c r="H8" s="10" t="s">
        <v>34</v>
      </c>
      <c r="I8" s="11" t="s">
        <v>40</v>
      </c>
      <c r="J8" s="12">
        <v>3</v>
      </c>
      <c r="K8" s="13">
        <v>1</v>
      </c>
      <c r="L8" s="10" t="s">
        <v>93</v>
      </c>
      <c r="M8" s="10" t="s">
        <v>51</v>
      </c>
      <c r="N8" s="10" t="s">
        <v>31</v>
      </c>
      <c r="O8" s="12">
        <v>3</v>
      </c>
      <c r="P8" s="14">
        <f>Settings!$B$4+O8</f>
        <v>46059</v>
      </c>
      <c r="Q8" s="14">
        <f t="shared" si="0"/>
        <v>46059</v>
      </c>
      <c r="R8" s="10" t="s">
        <v>93</v>
      </c>
      <c r="S8" s="10" t="s">
        <v>121</v>
      </c>
    </row>
    <row r="9" spans="1:19" ht="54" customHeight="1" x14ac:dyDescent="0.25">
      <c r="A9" s="10" t="s">
        <v>122</v>
      </c>
      <c r="B9" s="10" t="s">
        <v>123</v>
      </c>
      <c r="C9" s="10" t="s">
        <v>124</v>
      </c>
      <c r="D9" s="10" t="s">
        <v>125</v>
      </c>
      <c r="E9" s="10" t="s">
        <v>126</v>
      </c>
      <c r="F9" s="10" t="s">
        <v>44</v>
      </c>
      <c r="G9" s="10" t="s">
        <v>66</v>
      </c>
      <c r="H9" s="10" t="s">
        <v>34</v>
      </c>
      <c r="I9" s="11" t="s">
        <v>32</v>
      </c>
      <c r="J9" s="12">
        <v>2</v>
      </c>
      <c r="K9" s="13">
        <v>0.5</v>
      </c>
      <c r="L9" s="10" t="s">
        <v>93</v>
      </c>
      <c r="M9" s="10" t="s">
        <v>51</v>
      </c>
      <c r="N9" s="10" t="s">
        <v>31</v>
      </c>
      <c r="O9" s="12">
        <v>4</v>
      </c>
      <c r="P9" s="14">
        <f>Settings!$B$4+O9</f>
        <v>46060</v>
      </c>
      <c r="Q9" s="14">
        <f t="shared" si="0"/>
        <v>46060</v>
      </c>
      <c r="R9" s="10" t="s">
        <v>93</v>
      </c>
      <c r="S9" s="10" t="s">
        <v>127</v>
      </c>
    </row>
    <row r="10" spans="1:19" ht="54" customHeight="1" x14ac:dyDescent="0.25">
      <c r="A10" s="10" t="s">
        <v>128</v>
      </c>
      <c r="B10" s="10" t="s">
        <v>123</v>
      </c>
      <c r="C10" s="10" t="s">
        <v>129</v>
      </c>
      <c r="D10" s="10" t="s">
        <v>130</v>
      </c>
      <c r="E10" s="10" t="s">
        <v>131</v>
      </c>
      <c r="F10" s="10" t="s">
        <v>44</v>
      </c>
      <c r="G10" s="10" t="s">
        <v>41</v>
      </c>
      <c r="H10" s="10" t="s">
        <v>34</v>
      </c>
      <c r="I10" s="11" t="s">
        <v>32</v>
      </c>
      <c r="J10" s="12">
        <v>4</v>
      </c>
      <c r="K10" s="13">
        <v>1</v>
      </c>
      <c r="L10" s="10" t="s">
        <v>93</v>
      </c>
      <c r="M10" s="10" t="s">
        <v>51</v>
      </c>
      <c r="N10" s="10" t="s">
        <v>31</v>
      </c>
      <c r="O10" s="12">
        <v>4</v>
      </c>
      <c r="P10" s="14">
        <f>Settings!$B$4+O10</f>
        <v>46060</v>
      </c>
      <c r="Q10" s="14">
        <f t="shared" si="0"/>
        <v>46060</v>
      </c>
      <c r="R10" s="10" t="s">
        <v>93</v>
      </c>
      <c r="S10" s="10" t="s">
        <v>132</v>
      </c>
    </row>
    <row r="11" spans="1:19" ht="54" customHeight="1" x14ac:dyDescent="0.25">
      <c r="A11" s="10" t="s">
        <v>133</v>
      </c>
      <c r="B11" s="10" t="s">
        <v>123</v>
      </c>
      <c r="C11" s="10" t="s">
        <v>134</v>
      </c>
      <c r="D11" s="10" t="s">
        <v>135</v>
      </c>
      <c r="E11" s="10" t="s">
        <v>136</v>
      </c>
      <c r="F11" s="10" t="s">
        <v>44</v>
      </c>
      <c r="G11" s="10" t="s">
        <v>66</v>
      </c>
      <c r="H11" s="10" t="s">
        <v>34</v>
      </c>
      <c r="I11" s="11" t="s">
        <v>40</v>
      </c>
      <c r="J11" s="12">
        <v>4</v>
      </c>
      <c r="K11" s="13">
        <v>1</v>
      </c>
      <c r="L11" s="10" t="s">
        <v>93</v>
      </c>
      <c r="M11" s="10" t="s">
        <v>51</v>
      </c>
      <c r="N11" s="10" t="s">
        <v>31</v>
      </c>
      <c r="O11" s="12">
        <v>5</v>
      </c>
      <c r="P11" s="14">
        <f>Settings!$B$4+O11</f>
        <v>46061</v>
      </c>
      <c r="Q11" s="14">
        <f t="shared" si="0"/>
        <v>46061</v>
      </c>
      <c r="R11" s="10" t="s">
        <v>93</v>
      </c>
      <c r="S11" s="10" t="s">
        <v>137</v>
      </c>
    </row>
    <row r="12" spans="1:19" ht="54" customHeight="1" x14ac:dyDescent="0.25">
      <c r="A12" s="10" t="s">
        <v>138</v>
      </c>
      <c r="B12" s="10" t="s">
        <v>123</v>
      </c>
      <c r="C12" s="10" t="s">
        <v>139</v>
      </c>
      <c r="D12" s="10" t="s">
        <v>140</v>
      </c>
      <c r="E12" s="10" t="s">
        <v>141</v>
      </c>
      <c r="F12" s="10" t="s">
        <v>44</v>
      </c>
      <c r="G12" s="10" t="s">
        <v>66</v>
      </c>
      <c r="H12" s="10" t="s">
        <v>63</v>
      </c>
      <c r="I12" s="11" t="s">
        <v>32</v>
      </c>
      <c r="J12" s="12">
        <v>6</v>
      </c>
      <c r="K12" s="13">
        <v>1</v>
      </c>
      <c r="L12" s="10" t="s">
        <v>93</v>
      </c>
      <c r="M12" s="10" t="s">
        <v>51</v>
      </c>
      <c r="N12" s="10" t="s">
        <v>31</v>
      </c>
      <c r="O12" s="12">
        <v>5</v>
      </c>
      <c r="P12" s="14">
        <f>Settings!$B$4+O12</f>
        <v>46061</v>
      </c>
      <c r="Q12" s="14">
        <f t="shared" si="0"/>
        <v>46061</v>
      </c>
      <c r="R12" s="10" t="s">
        <v>93</v>
      </c>
      <c r="S12" s="10" t="s">
        <v>142</v>
      </c>
    </row>
    <row r="13" spans="1:19" ht="54" customHeight="1" x14ac:dyDescent="0.25">
      <c r="A13" s="10" t="s">
        <v>143</v>
      </c>
      <c r="B13" s="10" t="s">
        <v>123</v>
      </c>
      <c r="C13" s="10" t="s">
        <v>139</v>
      </c>
      <c r="D13" s="10" t="s">
        <v>144</v>
      </c>
      <c r="E13" s="10" t="s">
        <v>145</v>
      </c>
      <c r="F13" s="10" t="s">
        <v>44</v>
      </c>
      <c r="G13" s="10" t="s">
        <v>66</v>
      </c>
      <c r="H13" s="10" t="s">
        <v>57</v>
      </c>
      <c r="I13" s="11" t="s">
        <v>40</v>
      </c>
      <c r="J13" s="12">
        <v>3</v>
      </c>
      <c r="K13" s="13">
        <v>0.5</v>
      </c>
      <c r="L13" s="10" t="s">
        <v>93</v>
      </c>
      <c r="M13" s="10" t="s">
        <v>51</v>
      </c>
      <c r="N13" s="10" t="s">
        <v>31</v>
      </c>
      <c r="O13" s="12">
        <v>5</v>
      </c>
      <c r="P13" s="14">
        <f>Settings!$B$4+O13</f>
        <v>46061</v>
      </c>
      <c r="Q13" s="14">
        <f t="shared" si="0"/>
        <v>46061</v>
      </c>
      <c r="R13" s="10" t="s">
        <v>93</v>
      </c>
      <c r="S13" s="10" t="s">
        <v>146</v>
      </c>
    </row>
    <row r="14" spans="1:19" ht="54" customHeight="1" x14ac:dyDescent="0.25">
      <c r="A14" s="10" t="s">
        <v>147</v>
      </c>
      <c r="B14" s="10" t="s">
        <v>123</v>
      </c>
      <c r="C14" s="10" t="s">
        <v>148</v>
      </c>
      <c r="D14" s="10" t="s">
        <v>149</v>
      </c>
      <c r="E14" s="10" t="s">
        <v>150</v>
      </c>
      <c r="F14" s="10" t="s">
        <v>44</v>
      </c>
      <c r="G14" s="10" t="s">
        <v>41</v>
      </c>
      <c r="H14" s="10" t="s">
        <v>34</v>
      </c>
      <c r="I14" s="11" t="s">
        <v>40</v>
      </c>
      <c r="J14" s="12">
        <v>6</v>
      </c>
      <c r="K14" s="13">
        <v>1</v>
      </c>
      <c r="L14" s="10" t="s">
        <v>93</v>
      </c>
      <c r="M14" s="10" t="s">
        <v>51</v>
      </c>
      <c r="N14" s="10" t="s">
        <v>31</v>
      </c>
      <c r="O14" s="12">
        <v>6</v>
      </c>
      <c r="P14" s="14">
        <f>Settings!$B$4+O14</f>
        <v>46062</v>
      </c>
      <c r="Q14" s="14">
        <f t="shared" si="0"/>
        <v>46062</v>
      </c>
      <c r="R14" s="10" t="s">
        <v>93</v>
      </c>
      <c r="S14" s="10" t="s">
        <v>151</v>
      </c>
    </row>
    <row r="15" spans="1:19" ht="54" customHeight="1" x14ac:dyDescent="0.25">
      <c r="A15" s="10" t="s">
        <v>152</v>
      </c>
      <c r="B15" s="10" t="s">
        <v>123</v>
      </c>
      <c r="C15" s="10" t="s">
        <v>62</v>
      </c>
      <c r="D15" s="10" t="s">
        <v>153</v>
      </c>
      <c r="E15" s="10" t="s">
        <v>154</v>
      </c>
      <c r="F15" s="10" t="s">
        <v>44</v>
      </c>
      <c r="G15" s="10" t="s">
        <v>62</v>
      </c>
      <c r="H15" s="10" t="s">
        <v>34</v>
      </c>
      <c r="I15" s="11" t="s">
        <v>40</v>
      </c>
      <c r="J15" s="12">
        <v>6</v>
      </c>
      <c r="K15" s="13">
        <v>1</v>
      </c>
      <c r="L15" s="10" t="s">
        <v>93</v>
      </c>
      <c r="M15" s="10" t="s">
        <v>51</v>
      </c>
      <c r="N15" s="10" t="s">
        <v>31</v>
      </c>
      <c r="O15" s="12">
        <v>6</v>
      </c>
      <c r="P15" s="14">
        <f>Settings!$B$4+O15</f>
        <v>46062</v>
      </c>
      <c r="Q15" s="14">
        <f t="shared" si="0"/>
        <v>46062</v>
      </c>
      <c r="R15" s="10" t="s">
        <v>93</v>
      </c>
      <c r="S15" s="10" t="s">
        <v>155</v>
      </c>
    </row>
    <row r="16" spans="1:19" ht="54" customHeight="1" x14ac:dyDescent="0.25">
      <c r="A16" s="10" t="s">
        <v>156</v>
      </c>
      <c r="B16" s="10" t="s">
        <v>157</v>
      </c>
      <c r="C16" s="10" t="s">
        <v>158</v>
      </c>
      <c r="D16" s="10" t="s">
        <v>159</v>
      </c>
      <c r="E16" s="10" t="s">
        <v>160</v>
      </c>
      <c r="F16" s="10" t="s">
        <v>52</v>
      </c>
      <c r="G16" s="10" t="s">
        <v>41</v>
      </c>
      <c r="H16" s="10" t="s">
        <v>34</v>
      </c>
      <c r="I16" s="11" t="s">
        <v>32</v>
      </c>
      <c r="J16" s="12">
        <v>4</v>
      </c>
      <c r="K16" s="13">
        <v>1</v>
      </c>
      <c r="L16" s="10" t="s">
        <v>100</v>
      </c>
      <c r="M16" s="10" t="s">
        <v>51</v>
      </c>
      <c r="N16" s="10" t="s">
        <v>31</v>
      </c>
      <c r="O16" s="12">
        <v>7</v>
      </c>
      <c r="P16" s="14">
        <f>Settings!$B$4+O16</f>
        <v>46063</v>
      </c>
      <c r="Q16" s="14">
        <f t="shared" si="0"/>
        <v>46063</v>
      </c>
      <c r="R16" s="10" t="s">
        <v>93</v>
      </c>
      <c r="S16" s="10" t="s">
        <v>161</v>
      </c>
    </row>
    <row r="17" spans="1:19" ht="54" customHeight="1" x14ac:dyDescent="0.25">
      <c r="A17" s="10" t="s">
        <v>162</v>
      </c>
      <c r="B17" s="10" t="s">
        <v>157</v>
      </c>
      <c r="C17" s="10" t="s">
        <v>158</v>
      </c>
      <c r="D17" s="10" t="s">
        <v>163</v>
      </c>
      <c r="E17" s="10" t="s">
        <v>164</v>
      </c>
      <c r="F17" s="10" t="s">
        <v>52</v>
      </c>
      <c r="G17" s="10" t="s">
        <v>41</v>
      </c>
      <c r="H17" s="10" t="s">
        <v>34</v>
      </c>
      <c r="I17" s="11" t="s">
        <v>32</v>
      </c>
      <c r="J17" s="12">
        <v>6</v>
      </c>
      <c r="K17" s="13">
        <v>1</v>
      </c>
      <c r="L17" s="10" t="s">
        <v>100</v>
      </c>
      <c r="M17" s="10" t="s">
        <v>51</v>
      </c>
      <c r="N17" s="10" t="s">
        <v>31</v>
      </c>
      <c r="O17" s="12">
        <v>7</v>
      </c>
      <c r="P17" s="14">
        <f>Settings!$B$4+O17</f>
        <v>46063</v>
      </c>
      <c r="Q17" s="14">
        <f t="shared" si="0"/>
        <v>46063</v>
      </c>
      <c r="R17" s="10" t="s">
        <v>93</v>
      </c>
      <c r="S17" s="10" t="s">
        <v>165</v>
      </c>
    </row>
    <row r="18" spans="1:19" ht="54" customHeight="1" x14ac:dyDescent="0.25">
      <c r="A18" s="10" t="s">
        <v>166</v>
      </c>
      <c r="B18" s="10" t="s">
        <v>157</v>
      </c>
      <c r="C18" s="10" t="s">
        <v>158</v>
      </c>
      <c r="D18" s="10" t="s">
        <v>167</v>
      </c>
      <c r="E18" s="10" t="s">
        <v>168</v>
      </c>
      <c r="F18" s="10" t="s">
        <v>52</v>
      </c>
      <c r="G18" s="10" t="s">
        <v>41</v>
      </c>
      <c r="H18" s="10" t="s">
        <v>34</v>
      </c>
      <c r="I18" s="11" t="s">
        <v>32</v>
      </c>
      <c r="J18" s="12">
        <v>6</v>
      </c>
      <c r="K18" s="13">
        <v>1</v>
      </c>
      <c r="L18" s="10" t="s">
        <v>169</v>
      </c>
      <c r="M18" s="10" t="s">
        <v>51</v>
      </c>
      <c r="N18" s="10" t="s">
        <v>31</v>
      </c>
      <c r="O18" s="12">
        <v>8</v>
      </c>
      <c r="P18" s="14">
        <f>Settings!$B$4+O18</f>
        <v>46064</v>
      </c>
      <c r="Q18" s="14">
        <f t="shared" si="0"/>
        <v>46064</v>
      </c>
      <c r="R18" s="10" t="s">
        <v>93</v>
      </c>
      <c r="S18" s="10" t="s">
        <v>170</v>
      </c>
    </row>
    <row r="19" spans="1:19" ht="54" customHeight="1" x14ac:dyDescent="0.25">
      <c r="A19" s="10" t="s">
        <v>171</v>
      </c>
      <c r="B19" s="10" t="s">
        <v>157</v>
      </c>
      <c r="C19" s="10" t="s">
        <v>172</v>
      </c>
      <c r="D19" s="10" t="s">
        <v>173</v>
      </c>
      <c r="E19" s="10" t="s">
        <v>174</v>
      </c>
      <c r="F19" s="10" t="s">
        <v>52</v>
      </c>
      <c r="G19" s="10" t="s">
        <v>41</v>
      </c>
      <c r="H19" s="10" t="s">
        <v>34</v>
      </c>
      <c r="I19" s="11" t="s">
        <v>32</v>
      </c>
      <c r="J19" s="12">
        <v>6</v>
      </c>
      <c r="K19" s="13">
        <v>1</v>
      </c>
      <c r="L19" s="10" t="s">
        <v>100</v>
      </c>
      <c r="M19" s="10" t="s">
        <v>51</v>
      </c>
      <c r="N19" s="10" t="s">
        <v>31</v>
      </c>
      <c r="O19" s="12">
        <v>8</v>
      </c>
      <c r="P19" s="14">
        <f>Settings!$B$4+O19</f>
        <v>46064</v>
      </c>
      <c r="Q19" s="14">
        <f t="shared" si="0"/>
        <v>46064</v>
      </c>
      <c r="R19" s="10" t="s">
        <v>93</v>
      </c>
      <c r="S19" s="10" t="s">
        <v>175</v>
      </c>
    </row>
    <row r="20" spans="1:19" ht="54" customHeight="1" x14ac:dyDescent="0.25">
      <c r="A20" s="10" t="s">
        <v>176</v>
      </c>
      <c r="B20" s="10" t="s">
        <v>157</v>
      </c>
      <c r="C20" s="10" t="s">
        <v>177</v>
      </c>
      <c r="D20" s="10" t="s">
        <v>178</v>
      </c>
      <c r="E20" s="10" t="s">
        <v>179</v>
      </c>
      <c r="F20" s="10" t="s">
        <v>52</v>
      </c>
      <c r="G20" s="10" t="s">
        <v>41</v>
      </c>
      <c r="H20" s="10" t="s">
        <v>34</v>
      </c>
      <c r="I20" s="11" t="s">
        <v>32</v>
      </c>
      <c r="J20" s="12">
        <v>10</v>
      </c>
      <c r="K20" s="13">
        <v>2</v>
      </c>
      <c r="L20" s="10" t="s">
        <v>180</v>
      </c>
      <c r="M20" s="10" t="s">
        <v>51</v>
      </c>
      <c r="N20" s="10" t="s">
        <v>31</v>
      </c>
      <c r="O20" s="12">
        <v>9</v>
      </c>
      <c r="P20" s="14">
        <f>Settings!$B$4+O20</f>
        <v>46065</v>
      </c>
      <c r="Q20" s="14">
        <f t="shared" si="0"/>
        <v>46066</v>
      </c>
      <c r="R20" s="10" t="s">
        <v>93</v>
      </c>
      <c r="S20" s="10" t="s">
        <v>181</v>
      </c>
    </row>
    <row r="21" spans="1:19" ht="54" customHeight="1" x14ac:dyDescent="0.25">
      <c r="A21" s="10" t="s">
        <v>182</v>
      </c>
      <c r="B21" s="10" t="s">
        <v>157</v>
      </c>
      <c r="C21" s="10" t="s">
        <v>177</v>
      </c>
      <c r="D21" s="10" t="s">
        <v>183</v>
      </c>
      <c r="E21" s="10" t="s">
        <v>184</v>
      </c>
      <c r="F21" s="10" t="s">
        <v>52</v>
      </c>
      <c r="G21" s="10" t="s">
        <v>41</v>
      </c>
      <c r="H21" s="10" t="s">
        <v>34</v>
      </c>
      <c r="I21" s="11" t="s">
        <v>32</v>
      </c>
      <c r="J21" s="12">
        <v>10</v>
      </c>
      <c r="K21" s="13">
        <v>2</v>
      </c>
      <c r="L21" s="10" t="s">
        <v>162</v>
      </c>
      <c r="M21" s="10" t="s">
        <v>51</v>
      </c>
      <c r="N21" s="10" t="s">
        <v>31</v>
      </c>
      <c r="O21" s="12">
        <v>10</v>
      </c>
      <c r="P21" s="14">
        <f>Settings!$B$4+O21</f>
        <v>46066</v>
      </c>
      <c r="Q21" s="14">
        <f t="shared" si="0"/>
        <v>46067</v>
      </c>
      <c r="R21" s="10" t="s">
        <v>93</v>
      </c>
      <c r="S21" s="10" t="s">
        <v>185</v>
      </c>
    </row>
    <row r="22" spans="1:19" ht="54" customHeight="1" x14ac:dyDescent="0.25">
      <c r="A22" s="10" t="s">
        <v>186</v>
      </c>
      <c r="B22" s="10" t="s">
        <v>157</v>
      </c>
      <c r="C22" s="10" t="s">
        <v>158</v>
      </c>
      <c r="D22" s="10" t="s">
        <v>187</v>
      </c>
      <c r="E22" s="10" t="s">
        <v>188</v>
      </c>
      <c r="F22" s="10" t="s">
        <v>52</v>
      </c>
      <c r="G22" s="10" t="s">
        <v>41</v>
      </c>
      <c r="H22" s="10" t="s">
        <v>34</v>
      </c>
      <c r="I22" s="11" t="s">
        <v>32</v>
      </c>
      <c r="J22" s="12">
        <v>12</v>
      </c>
      <c r="K22" s="13">
        <v>3</v>
      </c>
      <c r="L22" s="10" t="s">
        <v>189</v>
      </c>
      <c r="M22" s="10" t="s">
        <v>51</v>
      </c>
      <c r="N22" s="10" t="s">
        <v>31</v>
      </c>
      <c r="O22" s="12">
        <v>11</v>
      </c>
      <c r="P22" s="14">
        <f>Settings!$B$4+O22</f>
        <v>46067</v>
      </c>
      <c r="Q22" s="14">
        <f t="shared" si="0"/>
        <v>46069</v>
      </c>
      <c r="R22" s="10" t="s">
        <v>93</v>
      </c>
      <c r="S22" s="10" t="s">
        <v>190</v>
      </c>
    </row>
    <row r="23" spans="1:19" ht="54" customHeight="1" x14ac:dyDescent="0.25">
      <c r="A23" s="10" t="s">
        <v>191</v>
      </c>
      <c r="B23" s="10" t="s">
        <v>157</v>
      </c>
      <c r="C23" s="10" t="s">
        <v>158</v>
      </c>
      <c r="D23" s="10" t="s">
        <v>192</v>
      </c>
      <c r="E23" s="10" t="s">
        <v>193</v>
      </c>
      <c r="F23" s="10" t="s">
        <v>52</v>
      </c>
      <c r="G23" s="10" t="s">
        <v>41</v>
      </c>
      <c r="H23" s="10" t="s">
        <v>34</v>
      </c>
      <c r="I23" s="11" t="s">
        <v>32</v>
      </c>
      <c r="J23" s="12">
        <v>8</v>
      </c>
      <c r="K23" s="13">
        <v>1.5</v>
      </c>
      <c r="L23" s="10" t="s">
        <v>96</v>
      </c>
      <c r="M23" s="10" t="s">
        <v>51</v>
      </c>
      <c r="N23" s="10" t="s">
        <v>31</v>
      </c>
      <c r="O23" s="12">
        <v>10</v>
      </c>
      <c r="P23" s="14">
        <f>Settings!$B$4+O23</f>
        <v>46066</v>
      </c>
      <c r="Q23" s="14">
        <f t="shared" si="0"/>
        <v>46067</v>
      </c>
      <c r="R23" s="10" t="s">
        <v>93</v>
      </c>
      <c r="S23" s="10" t="s">
        <v>194</v>
      </c>
    </row>
    <row r="24" spans="1:19" ht="54" customHeight="1" x14ac:dyDescent="0.25">
      <c r="A24" s="10" t="s">
        <v>195</v>
      </c>
      <c r="B24" s="10" t="s">
        <v>157</v>
      </c>
      <c r="C24" s="10" t="s">
        <v>196</v>
      </c>
      <c r="D24" s="10" t="s">
        <v>197</v>
      </c>
      <c r="E24" s="10" t="s">
        <v>198</v>
      </c>
      <c r="F24" s="10" t="s">
        <v>52</v>
      </c>
      <c r="G24" s="10" t="s">
        <v>41</v>
      </c>
      <c r="H24" s="10" t="s">
        <v>50</v>
      </c>
      <c r="I24" s="11" t="s">
        <v>32</v>
      </c>
      <c r="J24" s="12">
        <v>10</v>
      </c>
      <c r="K24" s="13">
        <v>2</v>
      </c>
      <c r="L24" s="10" t="s">
        <v>199</v>
      </c>
      <c r="M24" s="10" t="s">
        <v>51</v>
      </c>
      <c r="N24" s="10" t="s">
        <v>31</v>
      </c>
      <c r="O24" s="12">
        <v>12</v>
      </c>
      <c r="P24" s="14">
        <f>Settings!$B$4+O24</f>
        <v>46068</v>
      </c>
      <c r="Q24" s="14">
        <f t="shared" si="0"/>
        <v>46069</v>
      </c>
      <c r="R24" s="10" t="s">
        <v>93</v>
      </c>
      <c r="S24" s="10" t="s">
        <v>200</v>
      </c>
    </row>
    <row r="25" spans="1:19" ht="54" customHeight="1" x14ac:dyDescent="0.25">
      <c r="A25" s="10" t="s">
        <v>201</v>
      </c>
      <c r="B25" s="10" t="s">
        <v>157</v>
      </c>
      <c r="C25" s="10" t="s">
        <v>202</v>
      </c>
      <c r="D25" s="10" t="s">
        <v>203</v>
      </c>
      <c r="E25" s="10" t="s">
        <v>204</v>
      </c>
      <c r="F25" s="10" t="s">
        <v>52</v>
      </c>
      <c r="G25" s="10" t="s">
        <v>41</v>
      </c>
      <c r="H25" s="10" t="s">
        <v>42</v>
      </c>
      <c r="I25" s="11" t="s">
        <v>40</v>
      </c>
      <c r="J25" s="12">
        <v>8</v>
      </c>
      <c r="K25" s="13">
        <v>2</v>
      </c>
      <c r="L25" s="10" t="s">
        <v>205</v>
      </c>
      <c r="M25" s="10" t="s">
        <v>51</v>
      </c>
      <c r="N25" s="10" t="s">
        <v>31</v>
      </c>
      <c r="O25" s="12">
        <v>13</v>
      </c>
      <c r="P25" s="14">
        <f>Settings!$B$4+O25</f>
        <v>46069</v>
      </c>
      <c r="Q25" s="14">
        <f t="shared" si="0"/>
        <v>46070</v>
      </c>
      <c r="R25" s="10" t="s">
        <v>93</v>
      </c>
      <c r="S25" s="10" t="s">
        <v>206</v>
      </c>
    </row>
    <row r="26" spans="1:19" ht="54" customHeight="1" x14ac:dyDescent="0.25">
      <c r="A26" s="10" t="s">
        <v>207</v>
      </c>
      <c r="B26" s="10" t="s">
        <v>157</v>
      </c>
      <c r="C26" s="10" t="s">
        <v>208</v>
      </c>
      <c r="D26" s="10" t="s">
        <v>209</v>
      </c>
      <c r="E26" s="10" t="s">
        <v>210</v>
      </c>
      <c r="F26" s="10" t="s">
        <v>52</v>
      </c>
      <c r="G26" s="10" t="s">
        <v>41</v>
      </c>
      <c r="H26" s="10" t="s">
        <v>34</v>
      </c>
      <c r="I26" s="11" t="s">
        <v>32</v>
      </c>
      <c r="J26" s="12">
        <v>6</v>
      </c>
      <c r="K26" s="13">
        <v>1</v>
      </c>
      <c r="L26" s="10" t="s">
        <v>211</v>
      </c>
      <c r="M26" s="10" t="s">
        <v>51</v>
      </c>
      <c r="N26" s="10" t="s">
        <v>31</v>
      </c>
      <c r="O26" s="12">
        <v>14</v>
      </c>
      <c r="P26" s="14">
        <f>Settings!$B$4+O26</f>
        <v>46070</v>
      </c>
      <c r="Q26" s="14">
        <f t="shared" si="0"/>
        <v>46070</v>
      </c>
      <c r="R26" s="10" t="s">
        <v>93</v>
      </c>
      <c r="S26" s="10" t="s">
        <v>212</v>
      </c>
    </row>
    <row r="27" spans="1:19" ht="54" customHeight="1" x14ac:dyDescent="0.25">
      <c r="A27" s="10" t="s">
        <v>213</v>
      </c>
      <c r="B27" s="10" t="s">
        <v>157</v>
      </c>
      <c r="C27" s="10" t="s">
        <v>208</v>
      </c>
      <c r="D27" s="10" t="s">
        <v>214</v>
      </c>
      <c r="E27" s="10" t="s">
        <v>215</v>
      </c>
      <c r="F27" s="10" t="s">
        <v>52</v>
      </c>
      <c r="G27" s="10" t="s">
        <v>41</v>
      </c>
      <c r="H27" s="10" t="s">
        <v>34</v>
      </c>
      <c r="I27" s="11" t="s">
        <v>40</v>
      </c>
      <c r="J27" s="12">
        <v>6</v>
      </c>
      <c r="K27" s="13">
        <v>1</v>
      </c>
      <c r="L27" s="10" t="s">
        <v>211</v>
      </c>
      <c r="M27" s="10" t="s">
        <v>51</v>
      </c>
      <c r="N27" s="10" t="s">
        <v>31</v>
      </c>
      <c r="O27" s="12">
        <v>14</v>
      </c>
      <c r="P27" s="14">
        <f>Settings!$B$4+O27</f>
        <v>46070</v>
      </c>
      <c r="Q27" s="14">
        <f t="shared" si="0"/>
        <v>46070</v>
      </c>
      <c r="R27" s="10" t="s">
        <v>93</v>
      </c>
      <c r="S27" s="10" t="s">
        <v>212</v>
      </c>
    </row>
    <row r="28" spans="1:19" ht="54" customHeight="1" x14ac:dyDescent="0.25">
      <c r="A28" s="10" t="s">
        <v>216</v>
      </c>
      <c r="B28" s="10" t="s">
        <v>157</v>
      </c>
      <c r="C28" s="10" t="s">
        <v>217</v>
      </c>
      <c r="D28" s="10" t="s">
        <v>218</v>
      </c>
      <c r="E28" s="10" t="s">
        <v>219</v>
      </c>
      <c r="F28" s="10" t="s">
        <v>52</v>
      </c>
      <c r="G28" s="10" t="s">
        <v>41</v>
      </c>
      <c r="H28" s="10" t="s">
        <v>34</v>
      </c>
      <c r="I28" s="11" t="s">
        <v>32</v>
      </c>
      <c r="J28" s="12">
        <v>6</v>
      </c>
      <c r="K28" s="13">
        <v>1</v>
      </c>
      <c r="L28" s="10" t="s">
        <v>211</v>
      </c>
      <c r="M28" s="10" t="s">
        <v>51</v>
      </c>
      <c r="N28" s="10" t="s">
        <v>31</v>
      </c>
      <c r="O28" s="12">
        <v>14</v>
      </c>
      <c r="P28" s="14">
        <f>Settings!$B$4+O28</f>
        <v>46070</v>
      </c>
      <c r="Q28" s="14">
        <f t="shared" si="0"/>
        <v>46070</v>
      </c>
      <c r="R28" s="10" t="s">
        <v>93</v>
      </c>
      <c r="S28" s="10" t="s">
        <v>212</v>
      </c>
    </row>
    <row r="29" spans="1:19" ht="54" customHeight="1" x14ac:dyDescent="0.25">
      <c r="A29" s="10" t="s">
        <v>220</v>
      </c>
      <c r="B29" s="10" t="s">
        <v>157</v>
      </c>
      <c r="C29" s="10" t="s">
        <v>221</v>
      </c>
      <c r="D29" s="10" t="s">
        <v>222</v>
      </c>
      <c r="E29" s="10" t="s">
        <v>223</v>
      </c>
      <c r="F29" s="10" t="s">
        <v>52</v>
      </c>
      <c r="G29" s="10" t="s">
        <v>41</v>
      </c>
      <c r="H29" s="10" t="s">
        <v>34</v>
      </c>
      <c r="I29" s="11" t="s">
        <v>32</v>
      </c>
      <c r="J29" s="12">
        <v>10</v>
      </c>
      <c r="K29" s="13">
        <v>2</v>
      </c>
      <c r="L29" s="10" t="s">
        <v>211</v>
      </c>
      <c r="M29" s="10" t="s">
        <v>51</v>
      </c>
      <c r="N29" s="10" t="s">
        <v>31</v>
      </c>
      <c r="O29" s="12">
        <v>15</v>
      </c>
      <c r="P29" s="14">
        <f>Settings!$B$4+O29</f>
        <v>46071</v>
      </c>
      <c r="Q29" s="14">
        <f t="shared" si="0"/>
        <v>46072</v>
      </c>
      <c r="R29" s="10" t="s">
        <v>93</v>
      </c>
      <c r="S29" s="10" t="s">
        <v>212</v>
      </c>
    </row>
    <row r="30" spans="1:19" ht="54" customHeight="1" x14ac:dyDescent="0.25">
      <c r="A30" s="10" t="s">
        <v>224</v>
      </c>
      <c r="B30" s="10" t="s">
        <v>157</v>
      </c>
      <c r="C30" s="10" t="s">
        <v>221</v>
      </c>
      <c r="D30" s="10" t="s">
        <v>225</v>
      </c>
      <c r="E30" s="10" t="s">
        <v>226</v>
      </c>
      <c r="F30" s="10" t="s">
        <v>52</v>
      </c>
      <c r="G30" s="10" t="s">
        <v>41</v>
      </c>
      <c r="H30" s="10" t="s">
        <v>34</v>
      </c>
      <c r="I30" s="11" t="s">
        <v>40</v>
      </c>
      <c r="J30" s="12">
        <v>10</v>
      </c>
      <c r="K30" s="13">
        <v>2</v>
      </c>
      <c r="L30" s="10" t="s">
        <v>211</v>
      </c>
      <c r="M30" s="10" t="s">
        <v>51</v>
      </c>
      <c r="N30" s="10" t="s">
        <v>31</v>
      </c>
      <c r="O30" s="12">
        <v>16</v>
      </c>
      <c r="P30" s="14">
        <f>Settings!$B$4+O30</f>
        <v>46072</v>
      </c>
      <c r="Q30" s="14">
        <f t="shared" si="0"/>
        <v>46073</v>
      </c>
      <c r="R30" s="10" t="s">
        <v>93</v>
      </c>
      <c r="S30" s="10" t="s">
        <v>212</v>
      </c>
    </row>
    <row r="31" spans="1:19" ht="54" customHeight="1" x14ac:dyDescent="0.25">
      <c r="A31" s="10" t="s">
        <v>227</v>
      </c>
      <c r="B31" s="10" t="s">
        <v>157</v>
      </c>
      <c r="C31" s="10" t="s">
        <v>228</v>
      </c>
      <c r="D31" s="10" t="s">
        <v>229</v>
      </c>
      <c r="E31" s="10" t="s">
        <v>230</v>
      </c>
      <c r="F31" s="10" t="s">
        <v>52</v>
      </c>
      <c r="G31" s="10" t="s">
        <v>41</v>
      </c>
      <c r="H31" s="10" t="s">
        <v>34</v>
      </c>
      <c r="I31" s="11" t="s">
        <v>32</v>
      </c>
      <c r="J31" s="12">
        <v>12</v>
      </c>
      <c r="K31" s="13">
        <v>2</v>
      </c>
      <c r="L31" s="10" t="s">
        <v>211</v>
      </c>
      <c r="M31" s="10" t="s">
        <v>51</v>
      </c>
      <c r="N31" s="10" t="s">
        <v>31</v>
      </c>
      <c r="O31" s="12">
        <v>17</v>
      </c>
      <c r="P31" s="14">
        <f>Settings!$B$4+O31</f>
        <v>46073</v>
      </c>
      <c r="Q31" s="14">
        <f t="shared" si="0"/>
        <v>46074</v>
      </c>
      <c r="R31" s="10" t="s">
        <v>93</v>
      </c>
      <c r="S31" s="10" t="s">
        <v>212</v>
      </c>
    </row>
    <row r="32" spans="1:19" ht="54" customHeight="1" x14ac:dyDescent="0.25">
      <c r="A32" s="10" t="s">
        <v>231</v>
      </c>
      <c r="B32" s="10" t="s">
        <v>157</v>
      </c>
      <c r="C32" s="10" t="s">
        <v>158</v>
      </c>
      <c r="D32" s="10" t="s">
        <v>232</v>
      </c>
      <c r="E32" s="10" t="s">
        <v>233</v>
      </c>
      <c r="F32" s="10" t="s">
        <v>52</v>
      </c>
      <c r="G32" s="10" t="s">
        <v>41</v>
      </c>
      <c r="H32" s="10" t="s">
        <v>34</v>
      </c>
      <c r="I32" s="11" t="s">
        <v>32</v>
      </c>
      <c r="J32" s="12">
        <v>10</v>
      </c>
      <c r="K32" s="13">
        <v>2</v>
      </c>
      <c r="L32" s="10" t="s">
        <v>234</v>
      </c>
      <c r="M32" s="10" t="s">
        <v>51</v>
      </c>
      <c r="N32" s="10" t="s">
        <v>31</v>
      </c>
      <c r="O32" s="12">
        <v>15</v>
      </c>
      <c r="P32" s="14">
        <f>Settings!$B$4+O32</f>
        <v>46071</v>
      </c>
      <c r="Q32" s="14">
        <f t="shared" si="0"/>
        <v>46072</v>
      </c>
      <c r="R32" s="10" t="s">
        <v>93</v>
      </c>
      <c r="S32" s="10" t="s">
        <v>235</v>
      </c>
    </row>
    <row r="33" spans="1:19" ht="54" customHeight="1" x14ac:dyDescent="0.25">
      <c r="A33" s="10" t="s">
        <v>236</v>
      </c>
      <c r="B33" s="10" t="s">
        <v>157</v>
      </c>
      <c r="C33" s="10" t="s">
        <v>158</v>
      </c>
      <c r="D33" s="10" t="s">
        <v>237</v>
      </c>
      <c r="E33" s="10" t="s">
        <v>238</v>
      </c>
      <c r="F33" s="10" t="s">
        <v>52</v>
      </c>
      <c r="G33" s="10" t="s">
        <v>41</v>
      </c>
      <c r="H33" s="10" t="s">
        <v>34</v>
      </c>
      <c r="I33" s="11" t="s">
        <v>32</v>
      </c>
      <c r="J33" s="12">
        <v>8</v>
      </c>
      <c r="K33" s="13">
        <v>1.5</v>
      </c>
      <c r="L33" s="10" t="s">
        <v>239</v>
      </c>
      <c r="M33" s="10" t="s">
        <v>51</v>
      </c>
      <c r="N33" s="10" t="s">
        <v>31</v>
      </c>
      <c r="O33" s="12">
        <v>9</v>
      </c>
      <c r="P33" s="14">
        <f>Settings!$B$4+O33</f>
        <v>46065</v>
      </c>
      <c r="Q33" s="14">
        <f t="shared" si="0"/>
        <v>46066</v>
      </c>
      <c r="R33" s="10" t="s">
        <v>93</v>
      </c>
      <c r="S33" s="10" t="s">
        <v>240</v>
      </c>
    </row>
    <row r="34" spans="1:19" ht="54" customHeight="1" x14ac:dyDescent="0.25">
      <c r="A34" s="10" t="s">
        <v>241</v>
      </c>
      <c r="B34" s="10" t="s">
        <v>157</v>
      </c>
      <c r="C34" s="10" t="s">
        <v>158</v>
      </c>
      <c r="D34" s="10" t="s">
        <v>242</v>
      </c>
      <c r="E34" s="10" t="s">
        <v>243</v>
      </c>
      <c r="F34" s="10" t="s">
        <v>52</v>
      </c>
      <c r="G34" s="10" t="s">
        <v>41</v>
      </c>
      <c r="H34" s="10" t="s">
        <v>34</v>
      </c>
      <c r="I34" s="11" t="s">
        <v>32</v>
      </c>
      <c r="J34" s="12">
        <v>8</v>
      </c>
      <c r="K34" s="13">
        <v>1.5</v>
      </c>
      <c r="L34" s="10" t="s">
        <v>162</v>
      </c>
      <c r="M34" s="10" t="s">
        <v>51</v>
      </c>
      <c r="N34" s="10" t="s">
        <v>31</v>
      </c>
      <c r="O34" s="12">
        <v>9</v>
      </c>
      <c r="P34" s="14">
        <f>Settings!$B$4+O34</f>
        <v>46065</v>
      </c>
      <c r="Q34" s="14">
        <f t="shared" ref="Q34:Q65" si="1">P34+ROUNDUP(K34,0)-1</f>
        <v>46066</v>
      </c>
      <c r="R34" s="10" t="s">
        <v>93</v>
      </c>
      <c r="S34" s="10" t="s">
        <v>244</v>
      </c>
    </row>
    <row r="35" spans="1:19" ht="54" customHeight="1" x14ac:dyDescent="0.25">
      <c r="A35" s="10" t="s">
        <v>245</v>
      </c>
      <c r="B35" s="10" t="s">
        <v>157</v>
      </c>
      <c r="C35" s="10" t="s">
        <v>158</v>
      </c>
      <c r="D35" s="10" t="s">
        <v>246</v>
      </c>
      <c r="E35" s="10" t="s">
        <v>247</v>
      </c>
      <c r="F35" s="10" t="s">
        <v>52</v>
      </c>
      <c r="G35" s="10" t="s">
        <v>41</v>
      </c>
      <c r="H35" s="10" t="s">
        <v>34</v>
      </c>
      <c r="I35" s="11" t="s">
        <v>40</v>
      </c>
      <c r="J35" s="12">
        <v>4</v>
      </c>
      <c r="K35" s="13">
        <v>1</v>
      </c>
      <c r="L35" s="10" t="s">
        <v>162</v>
      </c>
      <c r="M35" s="10" t="s">
        <v>51</v>
      </c>
      <c r="N35" s="10" t="s">
        <v>31</v>
      </c>
      <c r="O35" s="12">
        <v>12</v>
      </c>
      <c r="P35" s="14">
        <f>Settings!$B$4+O35</f>
        <v>46068</v>
      </c>
      <c r="Q35" s="14">
        <f t="shared" si="1"/>
        <v>46068</v>
      </c>
      <c r="R35" s="10" t="s">
        <v>93</v>
      </c>
      <c r="S35" s="10" t="s">
        <v>248</v>
      </c>
    </row>
    <row r="36" spans="1:19" ht="54" customHeight="1" x14ac:dyDescent="0.25">
      <c r="A36" s="10" t="s">
        <v>249</v>
      </c>
      <c r="B36" s="10" t="s">
        <v>42</v>
      </c>
      <c r="C36" s="10" t="s">
        <v>250</v>
      </c>
      <c r="D36" s="10" t="s">
        <v>251</v>
      </c>
      <c r="E36" s="10" t="s">
        <v>252</v>
      </c>
      <c r="F36" s="10" t="s">
        <v>59</v>
      </c>
      <c r="G36" s="10" t="s">
        <v>41</v>
      </c>
      <c r="H36" s="10" t="s">
        <v>42</v>
      </c>
      <c r="I36" s="11" t="s">
        <v>32</v>
      </c>
      <c r="J36" s="12">
        <v>10</v>
      </c>
      <c r="K36" s="13">
        <v>2</v>
      </c>
      <c r="L36" s="10" t="s">
        <v>253</v>
      </c>
      <c r="M36" s="10" t="s">
        <v>51</v>
      </c>
      <c r="N36" s="10" t="s">
        <v>31</v>
      </c>
      <c r="O36" s="12">
        <v>18</v>
      </c>
      <c r="P36" s="14">
        <f>Settings!$B$4+O36</f>
        <v>46074</v>
      </c>
      <c r="Q36" s="14">
        <f t="shared" si="1"/>
        <v>46075</v>
      </c>
      <c r="R36" s="10" t="s">
        <v>93</v>
      </c>
      <c r="S36" s="10" t="s">
        <v>254</v>
      </c>
    </row>
    <row r="37" spans="1:19" ht="54" customHeight="1" x14ac:dyDescent="0.25">
      <c r="A37" s="10" t="s">
        <v>255</v>
      </c>
      <c r="B37" s="10" t="s">
        <v>42</v>
      </c>
      <c r="C37" s="10" t="s">
        <v>256</v>
      </c>
      <c r="D37" s="10" t="s">
        <v>257</v>
      </c>
      <c r="E37" s="10" t="s">
        <v>258</v>
      </c>
      <c r="F37" s="10" t="s">
        <v>59</v>
      </c>
      <c r="G37" s="10" t="s">
        <v>41</v>
      </c>
      <c r="H37" s="10" t="s">
        <v>42</v>
      </c>
      <c r="I37" s="11" t="s">
        <v>32</v>
      </c>
      <c r="J37" s="12">
        <v>10</v>
      </c>
      <c r="K37" s="13">
        <v>2</v>
      </c>
      <c r="L37" s="10" t="s">
        <v>205</v>
      </c>
      <c r="M37" s="10" t="s">
        <v>51</v>
      </c>
      <c r="N37" s="10" t="s">
        <v>31</v>
      </c>
      <c r="O37" s="12">
        <v>19</v>
      </c>
      <c r="P37" s="14">
        <f>Settings!$B$4+O37</f>
        <v>46075</v>
      </c>
      <c r="Q37" s="14">
        <f t="shared" si="1"/>
        <v>46076</v>
      </c>
      <c r="R37" s="10" t="s">
        <v>93</v>
      </c>
      <c r="S37" s="10" t="s">
        <v>259</v>
      </c>
    </row>
    <row r="38" spans="1:19" ht="54" customHeight="1" x14ac:dyDescent="0.25">
      <c r="A38" s="10" t="s">
        <v>260</v>
      </c>
      <c r="B38" s="10" t="s">
        <v>42</v>
      </c>
      <c r="C38" s="10" t="s">
        <v>202</v>
      </c>
      <c r="D38" s="10" t="s">
        <v>261</v>
      </c>
      <c r="E38" s="10" t="s">
        <v>262</v>
      </c>
      <c r="F38" s="10" t="s">
        <v>59</v>
      </c>
      <c r="G38" s="10" t="s">
        <v>41</v>
      </c>
      <c r="H38" s="10" t="s">
        <v>42</v>
      </c>
      <c r="I38" s="11" t="s">
        <v>40</v>
      </c>
      <c r="J38" s="12">
        <v>6</v>
      </c>
      <c r="K38" s="13">
        <v>1</v>
      </c>
      <c r="L38" s="10" t="s">
        <v>182</v>
      </c>
      <c r="M38" s="10" t="s">
        <v>51</v>
      </c>
      <c r="N38" s="10" t="s">
        <v>31</v>
      </c>
      <c r="O38" s="12">
        <v>21</v>
      </c>
      <c r="P38" s="14">
        <f>Settings!$B$4+O38</f>
        <v>46077</v>
      </c>
      <c r="Q38" s="14">
        <f t="shared" si="1"/>
        <v>46077</v>
      </c>
      <c r="R38" s="10" t="s">
        <v>93</v>
      </c>
      <c r="S38" s="10" t="s">
        <v>263</v>
      </c>
    </row>
    <row r="39" spans="1:19" ht="54" customHeight="1" x14ac:dyDescent="0.25">
      <c r="A39" s="10" t="s">
        <v>264</v>
      </c>
      <c r="B39" s="10" t="s">
        <v>42</v>
      </c>
      <c r="C39" s="10" t="s">
        <v>265</v>
      </c>
      <c r="D39" s="10" t="s">
        <v>266</v>
      </c>
      <c r="E39" s="10" t="s">
        <v>267</v>
      </c>
      <c r="F39" s="10" t="s">
        <v>59</v>
      </c>
      <c r="G39" s="10" t="s">
        <v>41</v>
      </c>
      <c r="H39" s="10" t="s">
        <v>34</v>
      </c>
      <c r="I39" s="11" t="s">
        <v>40</v>
      </c>
      <c r="J39" s="12">
        <v>4</v>
      </c>
      <c r="K39" s="13">
        <v>1</v>
      </c>
      <c r="L39" s="10" t="s">
        <v>93</v>
      </c>
      <c r="M39" s="10" t="s">
        <v>51</v>
      </c>
      <c r="N39" s="10" t="s">
        <v>31</v>
      </c>
      <c r="O39" s="12">
        <v>20</v>
      </c>
      <c r="P39" s="14">
        <f>Settings!$B$4+O39</f>
        <v>46076</v>
      </c>
      <c r="Q39" s="14">
        <f t="shared" si="1"/>
        <v>46076</v>
      </c>
      <c r="R39" s="10" t="s">
        <v>93</v>
      </c>
      <c r="S39" s="10" t="s">
        <v>268</v>
      </c>
    </row>
    <row r="40" spans="1:19" ht="54" customHeight="1" x14ac:dyDescent="0.25">
      <c r="A40" s="10" t="s">
        <v>269</v>
      </c>
      <c r="B40" s="10" t="s">
        <v>42</v>
      </c>
      <c r="C40" s="10" t="s">
        <v>270</v>
      </c>
      <c r="D40" s="10" t="s">
        <v>271</v>
      </c>
      <c r="E40" s="10" t="s">
        <v>272</v>
      </c>
      <c r="F40" s="10" t="s">
        <v>59</v>
      </c>
      <c r="G40" s="10" t="s">
        <v>41</v>
      </c>
      <c r="H40" s="10" t="s">
        <v>34</v>
      </c>
      <c r="I40" s="11" t="s">
        <v>40</v>
      </c>
      <c r="J40" s="12">
        <v>8</v>
      </c>
      <c r="K40" s="13">
        <v>2</v>
      </c>
      <c r="L40" s="10" t="s">
        <v>273</v>
      </c>
      <c r="M40" s="10" t="s">
        <v>51</v>
      </c>
      <c r="N40" s="10" t="s">
        <v>31</v>
      </c>
      <c r="O40" s="12">
        <v>21</v>
      </c>
      <c r="P40" s="14">
        <f>Settings!$B$4+O40</f>
        <v>46077</v>
      </c>
      <c r="Q40" s="14">
        <f t="shared" si="1"/>
        <v>46078</v>
      </c>
      <c r="R40" s="10" t="s">
        <v>93</v>
      </c>
      <c r="S40" s="10" t="s">
        <v>274</v>
      </c>
    </row>
    <row r="41" spans="1:19" ht="54" customHeight="1" x14ac:dyDescent="0.25">
      <c r="A41" s="10" t="s">
        <v>275</v>
      </c>
      <c r="B41" s="10" t="s">
        <v>276</v>
      </c>
      <c r="C41" s="10" t="s">
        <v>277</v>
      </c>
      <c r="D41" s="10" t="s">
        <v>278</v>
      </c>
      <c r="E41" s="10" t="s">
        <v>279</v>
      </c>
      <c r="F41" s="10" t="s">
        <v>64</v>
      </c>
      <c r="G41" s="10" t="s">
        <v>41</v>
      </c>
      <c r="H41" s="10" t="s">
        <v>34</v>
      </c>
      <c r="I41" s="11" t="s">
        <v>32</v>
      </c>
      <c r="J41" s="12">
        <v>10</v>
      </c>
      <c r="K41" s="13">
        <v>2</v>
      </c>
      <c r="L41" s="10" t="s">
        <v>166</v>
      </c>
      <c r="M41" s="10" t="s">
        <v>51</v>
      </c>
      <c r="N41" s="10" t="s">
        <v>31</v>
      </c>
      <c r="O41" s="12">
        <v>18</v>
      </c>
      <c r="P41" s="14">
        <f>Settings!$B$4+O41</f>
        <v>46074</v>
      </c>
      <c r="Q41" s="14">
        <f t="shared" si="1"/>
        <v>46075</v>
      </c>
      <c r="R41" s="10" t="s">
        <v>93</v>
      </c>
      <c r="S41" s="10" t="s">
        <v>280</v>
      </c>
    </row>
    <row r="42" spans="1:19" ht="54" customHeight="1" x14ac:dyDescent="0.25">
      <c r="A42" s="10" t="s">
        <v>281</v>
      </c>
      <c r="B42" s="10" t="s">
        <v>276</v>
      </c>
      <c r="C42" s="10" t="s">
        <v>282</v>
      </c>
      <c r="D42" s="10" t="s">
        <v>283</v>
      </c>
      <c r="E42" s="10" t="s">
        <v>284</v>
      </c>
      <c r="F42" s="10" t="s">
        <v>64</v>
      </c>
      <c r="G42" s="10" t="s">
        <v>41</v>
      </c>
      <c r="H42" s="10" t="s">
        <v>34</v>
      </c>
      <c r="I42" s="11" t="s">
        <v>32</v>
      </c>
      <c r="J42" s="12">
        <v>12</v>
      </c>
      <c r="K42" s="13">
        <v>3</v>
      </c>
      <c r="L42" s="10" t="s">
        <v>227</v>
      </c>
      <c r="M42" s="10" t="s">
        <v>51</v>
      </c>
      <c r="N42" s="10" t="s">
        <v>31</v>
      </c>
      <c r="O42" s="12">
        <v>19</v>
      </c>
      <c r="P42" s="14">
        <f>Settings!$B$4+O42</f>
        <v>46075</v>
      </c>
      <c r="Q42" s="14">
        <f t="shared" si="1"/>
        <v>46077</v>
      </c>
      <c r="R42" s="10" t="s">
        <v>93</v>
      </c>
      <c r="S42" s="10" t="s">
        <v>285</v>
      </c>
    </row>
    <row r="43" spans="1:19" ht="54" customHeight="1" x14ac:dyDescent="0.25">
      <c r="A43" s="10" t="s">
        <v>286</v>
      </c>
      <c r="B43" s="10" t="s">
        <v>276</v>
      </c>
      <c r="C43" s="10" t="s">
        <v>287</v>
      </c>
      <c r="D43" s="10" t="s">
        <v>288</v>
      </c>
      <c r="E43" s="10" t="s">
        <v>289</v>
      </c>
      <c r="F43" s="10" t="s">
        <v>64</v>
      </c>
      <c r="G43" s="10" t="s">
        <v>49</v>
      </c>
      <c r="H43" s="10" t="s">
        <v>34</v>
      </c>
      <c r="I43" s="11" t="s">
        <v>32</v>
      </c>
      <c r="J43" s="12">
        <v>8</v>
      </c>
      <c r="K43" s="13">
        <v>2</v>
      </c>
      <c r="L43" s="10" t="s">
        <v>114</v>
      </c>
      <c r="M43" s="10" t="s">
        <v>51</v>
      </c>
      <c r="N43" s="10" t="s">
        <v>31</v>
      </c>
      <c r="O43" s="12">
        <v>18</v>
      </c>
      <c r="P43" s="14">
        <f>Settings!$B$4+O43</f>
        <v>46074</v>
      </c>
      <c r="Q43" s="14">
        <f t="shared" si="1"/>
        <v>46075</v>
      </c>
      <c r="R43" s="10" t="s">
        <v>93</v>
      </c>
      <c r="S43" s="10" t="s">
        <v>290</v>
      </c>
    </row>
    <row r="44" spans="1:19" ht="54" customHeight="1" x14ac:dyDescent="0.25">
      <c r="A44" s="10" t="s">
        <v>291</v>
      </c>
      <c r="B44" s="10" t="s">
        <v>276</v>
      </c>
      <c r="C44" s="10" t="s">
        <v>292</v>
      </c>
      <c r="D44" s="10" t="s">
        <v>293</v>
      </c>
      <c r="E44" s="10" t="s">
        <v>294</v>
      </c>
      <c r="F44" s="10" t="s">
        <v>64</v>
      </c>
      <c r="G44" s="10" t="s">
        <v>41</v>
      </c>
      <c r="H44" s="10" t="s">
        <v>34</v>
      </c>
      <c r="I44" s="11" t="s">
        <v>32</v>
      </c>
      <c r="J44" s="12">
        <v>10</v>
      </c>
      <c r="K44" s="13">
        <v>2</v>
      </c>
      <c r="L44" s="10" t="s">
        <v>295</v>
      </c>
      <c r="M44" s="10" t="s">
        <v>51</v>
      </c>
      <c r="N44" s="10" t="s">
        <v>31</v>
      </c>
      <c r="O44" s="12">
        <v>20</v>
      </c>
      <c r="P44" s="14">
        <f>Settings!$B$4+O44</f>
        <v>46076</v>
      </c>
      <c r="Q44" s="14">
        <f t="shared" si="1"/>
        <v>46077</v>
      </c>
      <c r="R44" s="10" t="s">
        <v>93</v>
      </c>
      <c r="S44" s="10" t="s">
        <v>296</v>
      </c>
    </row>
    <row r="45" spans="1:19" ht="54" customHeight="1" x14ac:dyDescent="0.25">
      <c r="A45" s="10" t="s">
        <v>297</v>
      </c>
      <c r="B45" s="10" t="s">
        <v>276</v>
      </c>
      <c r="C45" s="10" t="s">
        <v>292</v>
      </c>
      <c r="D45" s="10" t="s">
        <v>298</v>
      </c>
      <c r="E45" s="10" t="s">
        <v>299</v>
      </c>
      <c r="F45" s="10" t="s">
        <v>64</v>
      </c>
      <c r="G45" s="10" t="s">
        <v>41</v>
      </c>
      <c r="H45" s="10" t="s">
        <v>34</v>
      </c>
      <c r="I45" s="11" t="s">
        <v>40</v>
      </c>
      <c r="J45" s="12">
        <v>12</v>
      </c>
      <c r="K45" s="13">
        <v>3</v>
      </c>
      <c r="L45" s="10" t="s">
        <v>241</v>
      </c>
      <c r="M45" s="10" t="s">
        <v>51</v>
      </c>
      <c r="N45" s="10" t="s">
        <v>31</v>
      </c>
      <c r="O45" s="12">
        <v>23</v>
      </c>
      <c r="P45" s="14">
        <f>Settings!$B$4+O45</f>
        <v>46079</v>
      </c>
      <c r="Q45" s="14">
        <f t="shared" si="1"/>
        <v>46081</v>
      </c>
      <c r="R45" s="10" t="s">
        <v>93</v>
      </c>
      <c r="S45" s="10" t="s">
        <v>300</v>
      </c>
    </row>
    <row r="46" spans="1:19" ht="54" customHeight="1" x14ac:dyDescent="0.25">
      <c r="A46" s="10" t="s">
        <v>301</v>
      </c>
      <c r="B46" s="10" t="s">
        <v>276</v>
      </c>
      <c r="C46" s="10" t="s">
        <v>302</v>
      </c>
      <c r="D46" s="10" t="s">
        <v>303</v>
      </c>
      <c r="E46" s="10" t="s">
        <v>304</v>
      </c>
      <c r="F46" s="10" t="s">
        <v>64</v>
      </c>
      <c r="G46" s="10" t="s">
        <v>41</v>
      </c>
      <c r="H46" s="10" t="s">
        <v>34</v>
      </c>
      <c r="I46" s="11" t="s">
        <v>32</v>
      </c>
      <c r="J46" s="12">
        <v>8</v>
      </c>
      <c r="K46" s="13">
        <v>2</v>
      </c>
      <c r="L46" s="10" t="s">
        <v>305</v>
      </c>
      <c r="M46" s="10" t="s">
        <v>51</v>
      </c>
      <c r="N46" s="10" t="s">
        <v>31</v>
      </c>
      <c r="O46" s="12">
        <v>20</v>
      </c>
      <c r="P46" s="14">
        <f>Settings!$B$4+O46</f>
        <v>46076</v>
      </c>
      <c r="Q46" s="14">
        <f t="shared" si="1"/>
        <v>46077</v>
      </c>
      <c r="R46" s="10" t="s">
        <v>93</v>
      </c>
      <c r="S46" s="10" t="s">
        <v>306</v>
      </c>
    </row>
    <row r="47" spans="1:19" ht="54" customHeight="1" x14ac:dyDescent="0.25">
      <c r="A47" s="10" t="s">
        <v>307</v>
      </c>
      <c r="B47" s="10" t="s">
        <v>276</v>
      </c>
      <c r="C47" s="10" t="s">
        <v>308</v>
      </c>
      <c r="D47" s="10" t="s">
        <v>309</v>
      </c>
      <c r="E47" s="10" t="s">
        <v>310</v>
      </c>
      <c r="F47" s="10" t="s">
        <v>64</v>
      </c>
      <c r="G47" s="10" t="s">
        <v>41</v>
      </c>
      <c r="H47" s="10" t="s">
        <v>34</v>
      </c>
      <c r="I47" s="11" t="s">
        <v>40</v>
      </c>
      <c r="J47" s="12">
        <v>8</v>
      </c>
      <c r="K47" s="13">
        <v>2</v>
      </c>
      <c r="L47" s="10" t="s">
        <v>311</v>
      </c>
      <c r="M47" s="10" t="s">
        <v>51</v>
      </c>
      <c r="N47" s="10" t="s">
        <v>31</v>
      </c>
      <c r="O47" s="12">
        <v>22</v>
      </c>
      <c r="P47" s="14">
        <f>Settings!$B$4+O47</f>
        <v>46078</v>
      </c>
      <c r="Q47" s="14">
        <f t="shared" si="1"/>
        <v>46079</v>
      </c>
      <c r="R47" s="10" t="s">
        <v>93</v>
      </c>
      <c r="S47" s="10" t="s">
        <v>312</v>
      </c>
    </row>
    <row r="48" spans="1:19" ht="54" customHeight="1" x14ac:dyDescent="0.25">
      <c r="A48" s="10" t="s">
        <v>313</v>
      </c>
      <c r="B48" s="10" t="s">
        <v>276</v>
      </c>
      <c r="C48" s="10" t="s">
        <v>314</v>
      </c>
      <c r="D48" s="10" t="s">
        <v>315</v>
      </c>
      <c r="E48" s="10" t="s">
        <v>316</v>
      </c>
      <c r="F48" s="10" t="s">
        <v>64</v>
      </c>
      <c r="G48" s="10" t="s">
        <v>41</v>
      </c>
      <c r="H48" s="10" t="s">
        <v>34</v>
      </c>
      <c r="I48" s="11" t="s">
        <v>40</v>
      </c>
      <c r="J48" s="12">
        <v>12</v>
      </c>
      <c r="K48" s="13">
        <v>3</v>
      </c>
      <c r="L48" s="10" t="s">
        <v>317</v>
      </c>
      <c r="M48" s="10" t="s">
        <v>51</v>
      </c>
      <c r="N48" s="10" t="s">
        <v>31</v>
      </c>
      <c r="O48" s="12">
        <v>24</v>
      </c>
      <c r="P48" s="14">
        <f>Settings!$B$4+O48</f>
        <v>46080</v>
      </c>
      <c r="Q48" s="14">
        <f t="shared" si="1"/>
        <v>46082</v>
      </c>
      <c r="R48" s="10" t="s">
        <v>93</v>
      </c>
      <c r="S48" s="10" t="s">
        <v>318</v>
      </c>
    </row>
    <row r="49" spans="1:19" ht="54" customHeight="1" x14ac:dyDescent="0.25">
      <c r="A49" s="10" t="s">
        <v>319</v>
      </c>
      <c r="B49" s="10" t="s">
        <v>276</v>
      </c>
      <c r="C49" s="10" t="s">
        <v>320</v>
      </c>
      <c r="D49" s="10" t="s">
        <v>321</v>
      </c>
      <c r="E49" s="10" t="s">
        <v>322</v>
      </c>
      <c r="F49" s="10" t="s">
        <v>64</v>
      </c>
      <c r="G49" s="10" t="s">
        <v>41</v>
      </c>
      <c r="H49" s="10" t="s">
        <v>34</v>
      </c>
      <c r="I49" s="11" t="s">
        <v>32</v>
      </c>
      <c r="J49" s="12">
        <v>6</v>
      </c>
      <c r="K49" s="13">
        <v>1.5</v>
      </c>
      <c r="L49" s="10" t="s">
        <v>93</v>
      </c>
      <c r="M49" s="10" t="s">
        <v>51</v>
      </c>
      <c r="N49" s="10" t="s">
        <v>31</v>
      </c>
      <c r="O49" s="12">
        <v>18</v>
      </c>
      <c r="P49" s="14">
        <f>Settings!$B$4+O49</f>
        <v>46074</v>
      </c>
      <c r="Q49" s="14">
        <f t="shared" si="1"/>
        <v>46075</v>
      </c>
      <c r="R49" s="10" t="s">
        <v>93</v>
      </c>
      <c r="S49" s="10" t="s">
        <v>323</v>
      </c>
    </row>
    <row r="50" spans="1:19" ht="54" customHeight="1" x14ac:dyDescent="0.25">
      <c r="A50" s="10" t="s">
        <v>324</v>
      </c>
      <c r="B50" s="10" t="s">
        <v>276</v>
      </c>
      <c r="C50" s="10" t="s">
        <v>320</v>
      </c>
      <c r="D50" s="10" t="s">
        <v>325</v>
      </c>
      <c r="E50" s="10" t="s">
        <v>326</v>
      </c>
      <c r="F50" s="10" t="s">
        <v>64</v>
      </c>
      <c r="G50" s="10" t="s">
        <v>41</v>
      </c>
      <c r="H50" s="10" t="s">
        <v>34</v>
      </c>
      <c r="I50" s="11" t="s">
        <v>40</v>
      </c>
      <c r="J50" s="12">
        <v>8</v>
      </c>
      <c r="K50" s="13">
        <v>2</v>
      </c>
      <c r="L50" s="10" t="s">
        <v>224</v>
      </c>
      <c r="M50" s="10" t="s">
        <v>51</v>
      </c>
      <c r="N50" s="10" t="s">
        <v>31</v>
      </c>
      <c r="O50" s="12">
        <v>22</v>
      </c>
      <c r="P50" s="14">
        <f>Settings!$B$4+O50</f>
        <v>46078</v>
      </c>
      <c r="Q50" s="14">
        <f t="shared" si="1"/>
        <v>46079</v>
      </c>
      <c r="R50" s="10" t="s">
        <v>93</v>
      </c>
      <c r="S50" s="10" t="s">
        <v>327</v>
      </c>
    </row>
    <row r="51" spans="1:19" ht="54" customHeight="1" x14ac:dyDescent="0.25">
      <c r="A51" s="10" t="s">
        <v>328</v>
      </c>
      <c r="B51" s="10" t="s">
        <v>276</v>
      </c>
      <c r="C51" s="10" t="s">
        <v>228</v>
      </c>
      <c r="D51" s="10" t="s">
        <v>329</v>
      </c>
      <c r="E51" s="10" t="s">
        <v>330</v>
      </c>
      <c r="F51" s="10" t="s">
        <v>64</v>
      </c>
      <c r="G51" s="10" t="s">
        <v>41</v>
      </c>
      <c r="H51" s="10" t="s">
        <v>34</v>
      </c>
      <c r="I51" s="11" t="s">
        <v>32</v>
      </c>
      <c r="J51" s="12">
        <v>8</v>
      </c>
      <c r="K51" s="13">
        <v>2</v>
      </c>
      <c r="L51" s="10" t="s">
        <v>171</v>
      </c>
      <c r="M51" s="10" t="s">
        <v>51</v>
      </c>
      <c r="N51" s="10" t="s">
        <v>31</v>
      </c>
      <c r="O51" s="12">
        <v>25</v>
      </c>
      <c r="P51" s="14">
        <f>Settings!$B$4+O51</f>
        <v>46081</v>
      </c>
      <c r="Q51" s="14">
        <f t="shared" si="1"/>
        <v>46082</v>
      </c>
      <c r="R51" s="10" t="s">
        <v>93</v>
      </c>
      <c r="S51" s="10" t="s">
        <v>331</v>
      </c>
    </row>
    <row r="52" spans="1:19" ht="54" customHeight="1" x14ac:dyDescent="0.25">
      <c r="A52" s="10" t="s">
        <v>332</v>
      </c>
      <c r="B52" s="10" t="s">
        <v>333</v>
      </c>
      <c r="C52" s="10" t="s">
        <v>277</v>
      </c>
      <c r="D52" s="10" t="s">
        <v>334</v>
      </c>
      <c r="E52" s="10" t="s">
        <v>335</v>
      </c>
      <c r="F52" s="10" t="s">
        <v>67</v>
      </c>
      <c r="G52" s="10" t="s">
        <v>41</v>
      </c>
      <c r="H52" s="10" t="s">
        <v>34</v>
      </c>
      <c r="I52" s="11" t="s">
        <v>32</v>
      </c>
      <c r="J52" s="12">
        <v>8</v>
      </c>
      <c r="K52" s="13">
        <v>2</v>
      </c>
      <c r="L52" s="10" t="s">
        <v>336</v>
      </c>
      <c r="M52" s="10" t="s">
        <v>51</v>
      </c>
      <c r="N52" s="10" t="s">
        <v>31</v>
      </c>
      <c r="O52" s="12">
        <v>22</v>
      </c>
      <c r="P52" s="14">
        <f>Settings!$B$4+O52</f>
        <v>46078</v>
      </c>
      <c r="Q52" s="14">
        <f t="shared" si="1"/>
        <v>46079</v>
      </c>
      <c r="R52" s="10" t="s">
        <v>93</v>
      </c>
      <c r="S52" s="10" t="s">
        <v>337</v>
      </c>
    </row>
    <row r="53" spans="1:19" ht="54" customHeight="1" x14ac:dyDescent="0.25">
      <c r="A53" s="10" t="s">
        <v>338</v>
      </c>
      <c r="B53" s="10" t="s">
        <v>333</v>
      </c>
      <c r="C53" s="10" t="s">
        <v>339</v>
      </c>
      <c r="D53" s="10" t="s">
        <v>340</v>
      </c>
      <c r="E53" s="10" t="s">
        <v>341</v>
      </c>
      <c r="F53" s="10" t="s">
        <v>67</v>
      </c>
      <c r="G53" s="10" t="s">
        <v>41</v>
      </c>
      <c r="H53" s="10" t="s">
        <v>34</v>
      </c>
      <c r="I53" s="11" t="s">
        <v>32</v>
      </c>
      <c r="J53" s="12">
        <v>10</v>
      </c>
      <c r="K53" s="13">
        <v>2</v>
      </c>
      <c r="L53" s="10" t="s">
        <v>207</v>
      </c>
      <c r="M53" s="10" t="s">
        <v>51</v>
      </c>
      <c r="N53" s="10" t="s">
        <v>31</v>
      </c>
      <c r="O53" s="12">
        <v>23</v>
      </c>
      <c r="P53" s="14">
        <f>Settings!$B$4+O53</f>
        <v>46079</v>
      </c>
      <c r="Q53" s="14">
        <f t="shared" si="1"/>
        <v>46080</v>
      </c>
      <c r="R53" s="10" t="s">
        <v>93</v>
      </c>
      <c r="S53" s="10" t="s">
        <v>342</v>
      </c>
    </row>
    <row r="54" spans="1:19" ht="54" customHeight="1" x14ac:dyDescent="0.25">
      <c r="A54" s="10" t="s">
        <v>343</v>
      </c>
      <c r="B54" s="10" t="s">
        <v>333</v>
      </c>
      <c r="C54" s="10" t="s">
        <v>344</v>
      </c>
      <c r="D54" s="10" t="s">
        <v>345</v>
      </c>
      <c r="E54" s="10" t="s">
        <v>346</v>
      </c>
      <c r="F54" s="10" t="s">
        <v>67</v>
      </c>
      <c r="G54" s="10" t="s">
        <v>41</v>
      </c>
      <c r="H54" s="10" t="s">
        <v>34</v>
      </c>
      <c r="I54" s="11" t="s">
        <v>32</v>
      </c>
      <c r="J54" s="12">
        <v>14</v>
      </c>
      <c r="K54" s="13">
        <v>3</v>
      </c>
      <c r="L54" s="10" t="s">
        <v>347</v>
      </c>
      <c r="M54" s="10" t="s">
        <v>51</v>
      </c>
      <c r="N54" s="10" t="s">
        <v>31</v>
      </c>
      <c r="O54" s="12">
        <v>24</v>
      </c>
      <c r="P54" s="14">
        <f>Settings!$B$4+O54</f>
        <v>46080</v>
      </c>
      <c r="Q54" s="14">
        <f t="shared" si="1"/>
        <v>46082</v>
      </c>
      <c r="R54" s="10" t="s">
        <v>93</v>
      </c>
      <c r="S54" s="10" t="s">
        <v>348</v>
      </c>
    </row>
    <row r="55" spans="1:19" ht="54" customHeight="1" x14ac:dyDescent="0.25">
      <c r="A55" s="10" t="s">
        <v>349</v>
      </c>
      <c r="B55" s="10" t="s">
        <v>333</v>
      </c>
      <c r="C55" s="10" t="s">
        <v>344</v>
      </c>
      <c r="D55" s="10" t="s">
        <v>350</v>
      </c>
      <c r="E55" s="10" t="s">
        <v>351</v>
      </c>
      <c r="F55" s="10" t="s">
        <v>67</v>
      </c>
      <c r="G55" s="10" t="s">
        <v>41</v>
      </c>
      <c r="H55" s="10" t="s">
        <v>34</v>
      </c>
      <c r="I55" s="11" t="s">
        <v>32</v>
      </c>
      <c r="J55" s="12">
        <v>10</v>
      </c>
      <c r="K55" s="13">
        <v>2</v>
      </c>
      <c r="L55" s="10" t="s">
        <v>338</v>
      </c>
      <c r="M55" s="10" t="s">
        <v>51</v>
      </c>
      <c r="N55" s="10" t="s">
        <v>31</v>
      </c>
      <c r="O55" s="12">
        <v>25</v>
      </c>
      <c r="P55" s="14">
        <f>Settings!$B$4+O55</f>
        <v>46081</v>
      </c>
      <c r="Q55" s="14">
        <f t="shared" si="1"/>
        <v>46082</v>
      </c>
      <c r="R55" s="10" t="s">
        <v>93</v>
      </c>
      <c r="S55" s="10" t="s">
        <v>352</v>
      </c>
    </row>
    <row r="56" spans="1:19" ht="54" customHeight="1" x14ac:dyDescent="0.25">
      <c r="A56" s="10" t="s">
        <v>353</v>
      </c>
      <c r="B56" s="10" t="s">
        <v>333</v>
      </c>
      <c r="C56" s="10" t="s">
        <v>30</v>
      </c>
      <c r="D56" s="10" t="s">
        <v>354</v>
      </c>
      <c r="E56" s="10" t="s">
        <v>355</v>
      </c>
      <c r="F56" s="10" t="s">
        <v>67</v>
      </c>
      <c r="G56" s="10" t="s">
        <v>41</v>
      </c>
      <c r="H56" s="10" t="s">
        <v>34</v>
      </c>
      <c r="I56" s="11" t="s">
        <v>40</v>
      </c>
      <c r="J56" s="12">
        <v>8</v>
      </c>
      <c r="K56" s="13">
        <v>2</v>
      </c>
      <c r="L56" s="10" t="s">
        <v>356</v>
      </c>
      <c r="M56" s="10" t="s">
        <v>51</v>
      </c>
      <c r="N56" s="10" t="s">
        <v>31</v>
      </c>
      <c r="O56" s="12">
        <v>27</v>
      </c>
      <c r="P56" s="14">
        <f>Settings!$B$4+O56</f>
        <v>46083</v>
      </c>
      <c r="Q56" s="14">
        <f t="shared" si="1"/>
        <v>46084</v>
      </c>
      <c r="R56" s="10" t="s">
        <v>93</v>
      </c>
      <c r="S56" s="10" t="s">
        <v>357</v>
      </c>
    </row>
    <row r="57" spans="1:19" ht="54" customHeight="1" x14ac:dyDescent="0.25">
      <c r="A57" s="10" t="s">
        <v>358</v>
      </c>
      <c r="B57" s="10" t="s">
        <v>333</v>
      </c>
      <c r="C57" s="10" t="s">
        <v>359</v>
      </c>
      <c r="D57" s="10" t="s">
        <v>360</v>
      </c>
      <c r="E57" s="10" t="s">
        <v>361</v>
      </c>
      <c r="F57" s="10" t="s">
        <v>67</v>
      </c>
      <c r="G57" s="10" t="s">
        <v>41</v>
      </c>
      <c r="H57" s="10" t="s">
        <v>34</v>
      </c>
      <c r="I57" s="11" t="s">
        <v>40</v>
      </c>
      <c r="J57" s="12">
        <v>6</v>
      </c>
      <c r="K57" s="13">
        <v>1.5</v>
      </c>
      <c r="L57" s="10" t="s">
        <v>338</v>
      </c>
      <c r="M57" s="10" t="s">
        <v>51</v>
      </c>
      <c r="N57" s="10" t="s">
        <v>31</v>
      </c>
      <c r="O57" s="12">
        <v>27</v>
      </c>
      <c r="P57" s="14">
        <f>Settings!$B$4+O57</f>
        <v>46083</v>
      </c>
      <c r="Q57" s="14">
        <f t="shared" si="1"/>
        <v>46084</v>
      </c>
      <c r="R57" s="10" t="s">
        <v>93</v>
      </c>
      <c r="S57" s="10" t="s">
        <v>362</v>
      </c>
    </row>
    <row r="58" spans="1:19" ht="54" customHeight="1" x14ac:dyDescent="0.25">
      <c r="A58" s="10" t="s">
        <v>363</v>
      </c>
      <c r="B58" s="10" t="s">
        <v>333</v>
      </c>
      <c r="C58" s="10" t="s">
        <v>364</v>
      </c>
      <c r="D58" s="10" t="s">
        <v>365</v>
      </c>
      <c r="E58" s="10" t="s">
        <v>366</v>
      </c>
      <c r="F58" s="10" t="s">
        <v>67</v>
      </c>
      <c r="G58" s="10" t="s">
        <v>62</v>
      </c>
      <c r="H58" s="10" t="s">
        <v>34</v>
      </c>
      <c r="I58" s="11" t="s">
        <v>40</v>
      </c>
      <c r="J58" s="12">
        <v>10</v>
      </c>
      <c r="K58" s="13">
        <v>2</v>
      </c>
      <c r="L58" s="10" t="s">
        <v>367</v>
      </c>
      <c r="M58" s="10" t="s">
        <v>51</v>
      </c>
      <c r="N58" s="10" t="s">
        <v>31</v>
      </c>
      <c r="O58" s="12">
        <v>28</v>
      </c>
      <c r="P58" s="14">
        <f>Settings!$B$4+O58</f>
        <v>46084</v>
      </c>
      <c r="Q58" s="14">
        <f t="shared" si="1"/>
        <v>46085</v>
      </c>
      <c r="R58" s="10" t="s">
        <v>93</v>
      </c>
      <c r="S58" s="10" t="s">
        <v>368</v>
      </c>
    </row>
    <row r="59" spans="1:19" ht="54" customHeight="1" x14ac:dyDescent="0.25">
      <c r="A59" s="10" t="s">
        <v>369</v>
      </c>
      <c r="B59" s="10" t="s">
        <v>50</v>
      </c>
      <c r="C59" s="10" t="s">
        <v>370</v>
      </c>
      <c r="D59" s="10" t="s">
        <v>371</v>
      </c>
      <c r="E59" s="10" t="s">
        <v>372</v>
      </c>
      <c r="F59" s="10" t="s">
        <v>69</v>
      </c>
      <c r="G59" s="10" t="s">
        <v>41</v>
      </c>
      <c r="H59" s="10" t="s">
        <v>50</v>
      </c>
      <c r="I59" s="11" t="s">
        <v>32</v>
      </c>
      <c r="J59" s="12">
        <v>8</v>
      </c>
      <c r="K59" s="13">
        <v>2</v>
      </c>
      <c r="L59" s="10" t="s">
        <v>373</v>
      </c>
      <c r="M59" s="10" t="s">
        <v>51</v>
      </c>
      <c r="N59" s="10" t="s">
        <v>31</v>
      </c>
      <c r="O59" s="12">
        <v>24</v>
      </c>
      <c r="P59" s="14">
        <f>Settings!$B$4+O59</f>
        <v>46080</v>
      </c>
      <c r="Q59" s="14">
        <f t="shared" si="1"/>
        <v>46081</v>
      </c>
      <c r="R59" s="10" t="s">
        <v>93</v>
      </c>
      <c r="S59" s="10" t="s">
        <v>374</v>
      </c>
    </row>
    <row r="60" spans="1:19" ht="54" customHeight="1" x14ac:dyDescent="0.25">
      <c r="A60" s="10" t="s">
        <v>375</v>
      </c>
      <c r="B60" s="10" t="s">
        <v>50</v>
      </c>
      <c r="C60" s="10" t="s">
        <v>370</v>
      </c>
      <c r="D60" s="10" t="s">
        <v>376</v>
      </c>
      <c r="E60" s="10" t="s">
        <v>377</v>
      </c>
      <c r="F60" s="10" t="s">
        <v>69</v>
      </c>
      <c r="G60" s="10" t="s">
        <v>41</v>
      </c>
      <c r="H60" s="10" t="s">
        <v>50</v>
      </c>
      <c r="I60" s="11" t="s">
        <v>32</v>
      </c>
      <c r="J60" s="12">
        <v>8</v>
      </c>
      <c r="K60" s="13">
        <v>2</v>
      </c>
      <c r="L60" s="10" t="s">
        <v>369</v>
      </c>
      <c r="M60" s="10" t="s">
        <v>51</v>
      </c>
      <c r="N60" s="10" t="s">
        <v>31</v>
      </c>
      <c r="O60" s="12">
        <v>25</v>
      </c>
      <c r="P60" s="14">
        <f>Settings!$B$4+O60</f>
        <v>46081</v>
      </c>
      <c r="Q60" s="14">
        <f t="shared" si="1"/>
        <v>46082</v>
      </c>
      <c r="R60" s="10" t="s">
        <v>93</v>
      </c>
      <c r="S60" s="10" t="s">
        <v>378</v>
      </c>
    </row>
    <row r="61" spans="1:19" ht="54" customHeight="1" x14ac:dyDescent="0.25">
      <c r="A61" s="10" t="s">
        <v>379</v>
      </c>
      <c r="B61" s="10" t="s">
        <v>50</v>
      </c>
      <c r="C61" s="10" t="s">
        <v>380</v>
      </c>
      <c r="D61" s="10" t="s">
        <v>381</v>
      </c>
      <c r="E61" s="10" t="s">
        <v>382</v>
      </c>
      <c r="F61" s="10" t="s">
        <v>69</v>
      </c>
      <c r="G61" s="10" t="s">
        <v>41</v>
      </c>
      <c r="H61" s="10" t="s">
        <v>50</v>
      </c>
      <c r="I61" s="11" t="s">
        <v>32</v>
      </c>
      <c r="J61" s="12">
        <v>10</v>
      </c>
      <c r="K61" s="13">
        <v>2</v>
      </c>
      <c r="L61" s="10" t="s">
        <v>375</v>
      </c>
      <c r="M61" s="10" t="s">
        <v>51</v>
      </c>
      <c r="N61" s="10" t="s">
        <v>31</v>
      </c>
      <c r="O61" s="12">
        <v>26</v>
      </c>
      <c r="P61" s="14">
        <f>Settings!$B$4+O61</f>
        <v>46082</v>
      </c>
      <c r="Q61" s="14">
        <f t="shared" si="1"/>
        <v>46083</v>
      </c>
      <c r="R61" s="10" t="s">
        <v>93</v>
      </c>
      <c r="S61" s="10" t="s">
        <v>383</v>
      </c>
    </row>
    <row r="62" spans="1:19" ht="54" customHeight="1" x14ac:dyDescent="0.25">
      <c r="A62" s="10" t="s">
        <v>384</v>
      </c>
      <c r="B62" s="10" t="s">
        <v>50</v>
      </c>
      <c r="C62" s="10" t="s">
        <v>385</v>
      </c>
      <c r="D62" s="10" t="s">
        <v>386</v>
      </c>
      <c r="E62" s="10" t="s">
        <v>387</v>
      </c>
      <c r="F62" s="10" t="s">
        <v>69</v>
      </c>
      <c r="G62" s="10" t="s">
        <v>41</v>
      </c>
      <c r="H62" s="10" t="s">
        <v>50</v>
      </c>
      <c r="I62" s="11" t="s">
        <v>32</v>
      </c>
      <c r="J62" s="12">
        <v>12</v>
      </c>
      <c r="K62" s="13">
        <v>3</v>
      </c>
      <c r="L62" s="10" t="s">
        <v>388</v>
      </c>
      <c r="M62" s="10" t="s">
        <v>51</v>
      </c>
      <c r="N62" s="10" t="s">
        <v>31</v>
      </c>
      <c r="O62" s="12">
        <v>27</v>
      </c>
      <c r="P62" s="14">
        <f>Settings!$B$4+O62</f>
        <v>46083</v>
      </c>
      <c r="Q62" s="14">
        <f t="shared" si="1"/>
        <v>46085</v>
      </c>
      <c r="R62" s="10" t="s">
        <v>93</v>
      </c>
      <c r="S62" s="10" t="s">
        <v>389</v>
      </c>
    </row>
    <row r="63" spans="1:19" ht="54" customHeight="1" x14ac:dyDescent="0.25">
      <c r="A63" s="10" t="s">
        <v>390</v>
      </c>
      <c r="B63" s="10" t="s">
        <v>50</v>
      </c>
      <c r="C63" s="10" t="s">
        <v>385</v>
      </c>
      <c r="D63" s="10" t="s">
        <v>391</v>
      </c>
      <c r="E63" s="10" t="s">
        <v>392</v>
      </c>
      <c r="F63" s="10" t="s">
        <v>69</v>
      </c>
      <c r="G63" s="10" t="s">
        <v>41</v>
      </c>
      <c r="H63" s="10" t="s">
        <v>50</v>
      </c>
      <c r="I63" s="11" t="s">
        <v>32</v>
      </c>
      <c r="J63" s="12">
        <v>12</v>
      </c>
      <c r="K63" s="13">
        <v>3</v>
      </c>
      <c r="L63" s="10" t="s">
        <v>384</v>
      </c>
      <c r="M63" s="10" t="s">
        <v>51</v>
      </c>
      <c r="N63" s="10" t="s">
        <v>31</v>
      </c>
      <c r="O63" s="12">
        <v>28</v>
      </c>
      <c r="P63" s="14">
        <f>Settings!$B$4+O63</f>
        <v>46084</v>
      </c>
      <c r="Q63" s="14">
        <f t="shared" si="1"/>
        <v>46086</v>
      </c>
      <c r="R63" s="10" t="s">
        <v>93</v>
      </c>
      <c r="S63" s="10" t="s">
        <v>393</v>
      </c>
    </row>
    <row r="64" spans="1:19" ht="54" customHeight="1" x14ac:dyDescent="0.25">
      <c r="A64" s="10" t="s">
        <v>394</v>
      </c>
      <c r="B64" s="10" t="s">
        <v>50</v>
      </c>
      <c r="C64" s="10" t="s">
        <v>395</v>
      </c>
      <c r="D64" s="10" t="s">
        <v>396</v>
      </c>
      <c r="E64" s="10" t="s">
        <v>397</v>
      </c>
      <c r="F64" s="10" t="s">
        <v>69</v>
      </c>
      <c r="G64" s="10" t="s">
        <v>41</v>
      </c>
      <c r="H64" s="10" t="s">
        <v>50</v>
      </c>
      <c r="I64" s="11" t="s">
        <v>32</v>
      </c>
      <c r="J64" s="12">
        <v>14</v>
      </c>
      <c r="K64" s="13">
        <v>3</v>
      </c>
      <c r="L64" s="10" t="s">
        <v>398</v>
      </c>
      <c r="M64" s="10" t="s">
        <v>51</v>
      </c>
      <c r="N64" s="10" t="s">
        <v>31</v>
      </c>
      <c r="O64" s="12">
        <v>29</v>
      </c>
      <c r="P64" s="14">
        <f>Settings!$B$4+O64</f>
        <v>46085</v>
      </c>
      <c r="Q64" s="14">
        <f t="shared" si="1"/>
        <v>46087</v>
      </c>
      <c r="R64" s="10" t="s">
        <v>93</v>
      </c>
      <c r="S64" s="10" t="s">
        <v>399</v>
      </c>
    </row>
    <row r="65" spans="1:19" ht="54" customHeight="1" x14ac:dyDescent="0.25">
      <c r="A65" s="10" t="s">
        <v>400</v>
      </c>
      <c r="B65" s="10" t="s">
        <v>50</v>
      </c>
      <c r="C65" s="10" t="s">
        <v>401</v>
      </c>
      <c r="D65" s="10" t="s">
        <v>402</v>
      </c>
      <c r="E65" s="10" t="s">
        <v>403</v>
      </c>
      <c r="F65" s="10" t="s">
        <v>69</v>
      </c>
      <c r="G65" s="10" t="s">
        <v>41</v>
      </c>
      <c r="H65" s="10" t="s">
        <v>50</v>
      </c>
      <c r="I65" s="11" t="s">
        <v>32</v>
      </c>
      <c r="J65" s="12">
        <v>14</v>
      </c>
      <c r="K65" s="13">
        <v>3</v>
      </c>
      <c r="L65" s="10" t="s">
        <v>404</v>
      </c>
      <c r="M65" s="10" t="s">
        <v>51</v>
      </c>
      <c r="N65" s="10" t="s">
        <v>31</v>
      </c>
      <c r="O65" s="12">
        <v>30</v>
      </c>
      <c r="P65" s="14">
        <f>Settings!$B$4+O65</f>
        <v>46086</v>
      </c>
      <c r="Q65" s="14">
        <f t="shared" si="1"/>
        <v>46088</v>
      </c>
      <c r="R65" s="10" t="s">
        <v>93</v>
      </c>
      <c r="S65" s="10" t="s">
        <v>405</v>
      </c>
    </row>
    <row r="66" spans="1:19" ht="54" customHeight="1" x14ac:dyDescent="0.25">
      <c r="A66" s="10" t="s">
        <v>406</v>
      </c>
      <c r="B66" s="10" t="s">
        <v>50</v>
      </c>
      <c r="C66" s="10" t="s">
        <v>407</v>
      </c>
      <c r="D66" s="10" t="s">
        <v>408</v>
      </c>
      <c r="E66" s="10" t="s">
        <v>409</v>
      </c>
      <c r="F66" s="10" t="s">
        <v>69</v>
      </c>
      <c r="G66" s="10" t="s">
        <v>41</v>
      </c>
      <c r="H66" s="10" t="s">
        <v>50</v>
      </c>
      <c r="I66" s="11" t="s">
        <v>32</v>
      </c>
      <c r="J66" s="12">
        <v>10</v>
      </c>
      <c r="K66" s="13">
        <v>2</v>
      </c>
      <c r="L66" s="10" t="s">
        <v>410</v>
      </c>
      <c r="M66" s="10" t="s">
        <v>51</v>
      </c>
      <c r="N66" s="10" t="s">
        <v>31</v>
      </c>
      <c r="O66" s="12">
        <v>31</v>
      </c>
      <c r="P66" s="14">
        <f>Settings!$B$4+O66</f>
        <v>46087</v>
      </c>
      <c r="Q66" s="14">
        <f t="shared" ref="Q66:Q97" si="2">P66+ROUNDUP(K66,0)-1</f>
        <v>46088</v>
      </c>
      <c r="R66" s="10" t="s">
        <v>93</v>
      </c>
      <c r="S66" s="10" t="s">
        <v>411</v>
      </c>
    </row>
    <row r="67" spans="1:19" ht="54" customHeight="1" x14ac:dyDescent="0.25">
      <c r="A67" s="10" t="s">
        <v>412</v>
      </c>
      <c r="B67" s="10" t="s">
        <v>50</v>
      </c>
      <c r="C67" s="10" t="s">
        <v>276</v>
      </c>
      <c r="D67" s="10" t="s">
        <v>413</v>
      </c>
      <c r="E67" s="10" t="s">
        <v>414</v>
      </c>
      <c r="F67" s="10" t="s">
        <v>69</v>
      </c>
      <c r="G67" s="10" t="s">
        <v>41</v>
      </c>
      <c r="H67" s="10" t="s">
        <v>34</v>
      </c>
      <c r="I67" s="11" t="s">
        <v>32</v>
      </c>
      <c r="J67" s="12">
        <v>10</v>
      </c>
      <c r="K67" s="13">
        <v>2</v>
      </c>
      <c r="L67" s="10" t="s">
        <v>415</v>
      </c>
      <c r="M67" s="10" t="s">
        <v>51</v>
      </c>
      <c r="N67" s="10" t="s">
        <v>31</v>
      </c>
      <c r="O67" s="12">
        <v>27</v>
      </c>
      <c r="P67" s="14">
        <f>Settings!$B$4+O67</f>
        <v>46083</v>
      </c>
      <c r="Q67" s="14">
        <f t="shared" si="2"/>
        <v>46084</v>
      </c>
      <c r="R67" s="10" t="s">
        <v>93</v>
      </c>
      <c r="S67" s="10" t="s">
        <v>416</v>
      </c>
    </row>
    <row r="68" spans="1:19" ht="54" customHeight="1" x14ac:dyDescent="0.25">
      <c r="A68" s="10" t="s">
        <v>417</v>
      </c>
      <c r="B68" s="10" t="s">
        <v>418</v>
      </c>
      <c r="C68" s="10" t="s">
        <v>419</v>
      </c>
      <c r="D68" s="10" t="s">
        <v>420</v>
      </c>
      <c r="E68" s="10" t="s">
        <v>421</v>
      </c>
      <c r="F68" s="10" t="s">
        <v>70</v>
      </c>
      <c r="G68" s="10" t="s">
        <v>41</v>
      </c>
      <c r="H68" s="10" t="s">
        <v>50</v>
      </c>
      <c r="I68" s="11" t="s">
        <v>32</v>
      </c>
      <c r="J68" s="12">
        <v>10</v>
      </c>
      <c r="K68" s="13">
        <v>2</v>
      </c>
      <c r="L68" s="10" t="s">
        <v>422</v>
      </c>
      <c r="M68" s="10" t="s">
        <v>51</v>
      </c>
      <c r="N68" s="10" t="s">
        <v>31</v>
      </c>
      <c r="O68" s="12">
        <v>32</v>
      </c>
      <c r="P68" s="14">
        <f>Settings!$B$4+O68</f>
        <v>46088</v>
      </c>
      <c r="Q68" s="14">
        <f t="shared" si="2"/>
        <v>46089</v>
      </c>
      <c r="R68" s="10" t="s">
        <v>93</v>
      </c>
      <c r="S68" s="10" t="s">
        <v>423</v>
      </c>
    </row>
    <row r="69" spans="1:19" ht="54" customHeight="1" x14ac:dyDescent="0.25">
      <c r="A69" s="10" t="s">
        <v>424</v>
      </c>
      <c r="B69" s="10" t="s">
        <v>418</v>
      </c>
      <c r="C69" s="10" t="s">
        <v>425</v>
      </c>
      <c r="D69" s="10" t="s">
        <v>426</v>
      </c>
      <c r="E69" s="10" t="s">
        <v>427</v>
      </c>
      <c r="F69" s="10" t="s">
        <v>70</v>
      </c>
      <c r="G69" s="10" t="s">
        <v>41</v>
      </c>
      <c r="H69" s="10" t="s">
        <v>50</v>
      </c>
      <c r="I69" s="11" t="s">
        <v>32</v>
      </c>
      <c r="J69" s="12">
        <v>12</v>
      </c>
      <c r="K69" s="13">
        <v>3</v>
      </c>
      <c r="L69" s="10" t="s">
        <v>428</v>
      </c>
      <c r="M69" s="10" t="s">
        <v>51</v>
      </c>
      <c r="N69" s="10" t="s">
        <v>31</v>
      </c>
      <c r="O69" s="12">
        <v>33</v>
      </c>
      <c r="P69" s="14">
        <f>Settings!$B$4+O69</f>
        <v>46089</v>
      </c>
      <c r="Q69" s="14">
        <f t="shared" si="2"/>
        <v>46091</v>
      </c>
      <c r="R69" s="10" t="s">
        <v>93</v>
      </c>
      <c r="S69" s="10" t="s">
        <v>429</v>
      </c>
    </row>
    <row r="70" spans="1:19" ht="54" customHeight="1" x14ac:dyDescent="0.25">
      <c r="A70" s="10" t="s">
        <v>430</v>
      </c>
      <c r="B70" s="10" t="s">
        <v>418</v>
      </c>
      <c r="C70" s="10" t="s">
        <v>172</v>
      </c>
      <c r="D70" s="10" t="s">
        <v>431</v>
      </c>
      <c r="E70" s="10" t="s">
        <v>432</v>
      </c>
      <c r="F70" s="10" t="s">
        <v>70</v>
      </c>
      <c r="G70" s="10" t="s">
        <v>41</v>
      </c>
      <c r="H70" s="10" t="s">
        <v>50</v>
      </c>
      <c r="I70" s="11" t="s">
        <v>40</v>
      </c>
      <c r="J70" s="12">
        <v>6</v>
      </c>
      <c r="K70" s="13">
        <v>1.5</v>
      </c>
      <c r="L70" s="10" t="s">
        <v>433</v>
      </c>
      <c r="M70" s="10" t="s">
        <v>51</v>
      </c>
      <c r="N70" s="10" t="s">
        <v>31</v>
      </c>
      <c r="O70" s="12">
        <v>34</v>
      </c>
      <c r="P70" s="14">
        <f>Settings!$B$4+O70</f>
        <v>46090</v>
      </c>
      <c r="Q70" s="14">
        <f t="shared" si="2"/>
        <v>46091</v>
      </c>
      <c r="R70" s="10" t="s">
        <v>93</v>
      </c>
      <c r="S70" s="10" t="s">
        <v>434</v>
      </c>
    </row>
    <row r="71" spans="1:19" ht="54" customHeight="1" x14ac:dyDescent="0.25">
      <c r="A71" s="10" t="s">
        <v>435</v>
      </c>
      <c r="B71" s="10" t="s">
        <v>418</v>
      </c>
      <c r="C71" s="10" t="s">
        <v>436</v>
      </c>
      <c r="D71" s="10" t="s">
        <v>437</v>
      </c>
      <c r="E71" s="10" t="s">
        <v>438</v>
      </c>
      <c r="F71" s="10" t="s">
        <v>70</v>
      </c>
      <c r="G71" s="10" t="s">
        <v>41</v>
      </c>
      <c r="H71" s="10" t="s">
        <v>50</v>
      </c>
      <c r="I71" s="11" t="s">
        <v>40</v>
      </c>
      <c r="J71" s="12">
        <v>10</v>
      </c>
      <c r="K71" s="13">
        <v>2</v>
      </c>
      <c r="L71" s="10" t="s">
        <v>439</v>
      </c>
      <c r="M71" s="10" t="s">
        <v>51</v>
      </c>
      <c r="N71" s="10" t="s">
        <v>31</v>
      </c>
      <c r="O71" s="12">
        <v>34</v>
      </c>
      <c r="P71" s="14">
        <f>Settings!$B$4+O71</f>
        <v>46090</v>
      </c>
      <c r="Q71" s="14">
        <f t="shared" si="2"/>
        <v>46091</v>
      </c>
      <c r="R71" s="10" t="s">
        <v>93</v>
      </c>
      <c r="S71" s="10" t="s">
        <v>440</v>
      </c>
    </row>
    <row r="72" spans="1:19" ht="54" customHeight="1" x14ac:dyDescent="0.25">
      <c r="A72" s="10" t="s">
        <v>441</v>
      </c>
      <c r="B72" s="10" t="s">
        <v>418</v>
      </c>
      <c r="C72" s="10" t="s">
        <v>442</v>
      </c>
      <c r="D72" s="10" t="s">
        <v>443</v>
      </c>
      <c r="E72" s="10" t="s">
        <v>444</v>
      </c>
      <c r="F72" s="10" t="s">
        <v>70</v>
      </c>
      <c r="G72" s="10" t="s">
        <v>41</v>
      </c>
      <c r="H72" s="10" t="s">
        <v>50</v>
      </c>
      <c r="I72" s="11" t="s">
        <v>40</v>
      </c>
      <c r="J72" s="12">
        <v>6</v>
      </c>
      <c r="K72" s="13">
        <v>1.5</v>
      </c>
      <c r="L72" s="10" t="s">
        <v>445</v>
      </c>
      <c r="M72" s="10" t="s">
        <v>51</v>
      </c>
      <c r="N72" s="10" t="s">
        <v>31</v>
      </c>
      <c r="O72" s="12">
        <v>35</v>
      </c>
      <c r="P72" s="14">
        <f>Settings!$B$4+O72</f>
        <v>46091</v>
      </c>
      <c r="Q72" s="14">
        <f t="shared" si="2"/>
        <v>46092</v>
      </c>
      <c r="R72" s="10" t="s">
        <v>93</v>
      </c>
      <c r="S72" s="10" t="s">
        <v>446</v>
      </c>
    </row>
    <row r="73" spans="1:19" ht="54" customHeight="1" x14ac:dyDescent="0.25">
      <c r="A73" s="10" t="s">
        <v>447</v>
      </c>
      <c r="B73" s="10" t="s">
        <v>448</v>
      </c>
      <c r="C73" s="10" t="s">
        <v>56</v>
      </c>
      <c r="D73" s="10" t="s">
        <v>449</v>
      </c>
      <c r="E73" s="10" t="s">
        <v>450</v>
      </c>
      <c r="F73" s="10" t="s">
        <v>71</v>
      </c>
      <c r="G73" s="10" t="s">
        <v>56</v>
      </c>
      <c r="H73" s="10" t="s">
        <v>34</v>
      </c>
      <c r="I73" s="11" t="s">
        <v>40</v>
      </c>
      <c r="J73" s="12">
        <v>8</v>
      </c>
      <c r="K73" s="13">
        <v>2</v>
      </c>
      <c r="L73" s="10" t="s">
        <v>319</v>
      </c>
      <c r="M73" s="10" t="s">
        <v>51</v>
      </c>
      <c r="N73" s="10" t="s">
        <v>31</v>
      </c>
      <c r="O73" s="12">
        <v>30</v>
      </c>
      <c r="P73" s="14">
        <f>Settings!$B$4+O73</f>
        <v>46086</v>
      </c>
      <c r="Q73" s="14">
        <f t="shared" si="2"/>
        <v>46087</v>
      </c>
      <c r="R73" s="10" t="s">
        <v>93</v>
      </c>
      <c r="S73" s="10" t="s">
        <v>451</v>
      </c>
    </row>
    <row r="74" spans="1:19" ht="54" customHeight="1" x14ac:dyDescent="0.25">
      <c r="A74" s="10" t="s">
        <v>452</v>
      </c>
      <c r="B74" s="10" t="s">
        <v>448</v>
      </c>
      <c r="C74" s="10" t="s">
        <v>453</v>
      </c>
      <c r="D74" s="10" t="s">
        <v>454</v>
      </c>
      <c r="E74" s="10" t="s">
        <v>455</v>
      </c>
      <c r="F74" s="10" t="s">
        <v>71</v>
      </c>
      <c r="G74" s="10" t="s">
        <v>41</v>
      </c>
      <c r="H74" s="10" t="s">
        <v>34</v>
      </c>
      <c r="I74" s="11" t="s">
        <v>40</v>
      </c>
      <c r="J74" s="12">
        <v>8</v>
      </c>
      <c r="K74" s="13">
        <v>2</v>
      </c>
      <c r="L74" s="10" t="s">
        <v>236</v>
      </c>
      <c r="M74" s="10" t="s">
        <v>51</v>
      </c>
      <c r="N74" s="10" t="s">
        <v>31</v>
      </c>
      <c r="O74" s="12">
        <v>31</v>
      </c>
      <c r="P74" s="14">
        <f>Settings!$B$4+O74</f>
        <v>46087</v>
      </c>
      <c r="Q74" s="14">
        <f t="shared" si="2"/>
        <v>46088</v>
      </c>
      <c r="R74" s="10" t="s">
        <v>93</v>
      </c>
      <c r="S74" s="10" t="s">
        <v>456</v>
      </c>
    </row>
    <row r="75" spans="1:19" ht="54" customHeight="1" x14ac:dyDescent="0.25">
      <c r="A75" s="10" t="s">
        <v>457</v>
      </c>
      <c r="B75" s="10" t="s">
        <v>448</v>
      </c>
      <c r="C75" s="10" t="s">
        <v>453</v>
      </c>
      <c r="D75" s="10" t="s">
        <v>458</v>
      </c>
      <c r="E75" s="10" t="s">
        <v>459</v>
      </c>
      <c r="F75" s="10" t="s">
        <v>71</v>
      </c>
      <c r="G75" s="10" t="s">
        <v>41</v>
      </c>
      <c r="H75" s="10" t="s">
        <v>34</v>
      </c>
      <c r="I75" s="11" t="s">
        <v>40</v>
      </c>
      <c r="J75" s="12">
        <v>6</v>
      </c>
      <c r="K75" s="13">
        <v>1.5</v>
      </c>
      <c r="L75" s="10" t="s">
        <v>236</v>
      </c>
      <c r="M75" s="10" t="s">
        <v>51</v>
      </c>
      <c r="N75" s="10" t="s">
        <v>31</v>
      </c>
      <c r="O75" s="12">
        <v>31</v>
      </c>
      <c r="P75" s="14">
        <f>Settings!$B$4+O75</f>
        <v>46087</v>
      </c>
      <c r="Q75" s="14">
        <f t="shared" si="2"/>
        <v>46088</v>
      </c>
      <c r="R75" s="10" t="s">
        <v>93</v>
      </c>
      <c r="S75" s="10" t="s">
        <v>460</v>
      </c>
    </row>
    <row r="76" spans="1:19" ht="54" customHeight="1" x14ac:dyDescent="0.25">
      <c r="A76" s="10" t="s">
        <v>461</v>
      </c>
      <c r="B76" s="10" t="s">
        <v>448</v>
      </c>
      <c r="C76" s="10" t="s">
        <v>462</v>
      </c>
      <c r="D76" s="10" t="s">
        <v>463</v>
      </c>
      <c r="E76" s="10" t="s">
        <v>464</v>
      </c>
      <c r="F76" s="10" t="s">
        <v>71</v>
      </c>
      <c r="G76" s="10" t="s">
        <v>41</v>
      </c>
      <c r="H76" s="10" t="s">
        <v>34</v>
      </c>
      <c r="I76" s="11" t="s">
        <v>40</v>
      </c>
      <c r="J76" s="12">
        <v>10</v>
      </c>
      <c r="K76" s="13">
        <v>2</v>
      </c>
      <c r="L76" s="10" t="s">
        <v>465</v>
      </c>
      <c r="M76" s="10" t="s">
        <v>51</v>
      </c>
      <c r="N76" s="10" t="s">
        <v>31</v>
      </c>
      <c r="O76" s="12">
        <v>33</v>
      </c>
      <c r="P76" s="14">
        <f>Settings!$B$4+O76</f>
        <v>46089</v>
      </c>
      <c r="Q76" s="14">
        <f t="shared" si="2"/>
        <v>46090</v>
      </c>
      <c r="R76" s="10" t="s">
        <v>93</v>
      </c>
      <c r="S76" s="10" t="s">
        <v>466</v>
      </c>
    </row>
    <row r="77" spans="1:19" ht="54" customHeight="1" x14ac:dyDescent="0.25">
      <c r="A77" s="10" t="s">
        <v>467</v>
      </c>
      <c r="B77" s="10" t="s">
        <v>448</v>
      </c>
      <c r="C77" s="10" t="s">
        <v>110</v>
      </c>
      <c r="D77" s="10" t="s">
        <v>468</v>
      </c>
      <c r="E77" s="10" t="s">
        <v>469</v>
      </c>
      <c r="F77" s="10" t="s">
        <v>71</v>
      </c>
      <c r="G77" s="10" t="s">
        <v>41</v>
      </c>
      <c r="H77" s="10" t="s">
        <v>34</v>
      </c>
      <c r="I77" s="11" t="s">
        <v>48</v>
      </c>
      <c r="J77" s="12">
        <v>4</v>
      </c>
      <c r="K77" s="13">
        <v>1</v>
      </c>
      <c r="L77" s="10" t="s">
        <v>470</v>
      </c>
      <c r="M77" s="10" t="s">
        <v>51</v>
      </c>
      <c r="N77" s="10" t="s">
        <v>31</v>
      </c>
      <c r="O77" s="12">
        <v>32</v>
      </c>
      <c r="P77" s="14">
        <f>Settings!$B$4+O77</f>
        <v>46088</v>
      </c>
      <c r="Q77" s="14">
        <f t="shared" si="2"/>
        <v>46088</v>
      </c>
      <c r="R77" s="10" t="s">
        <v>93</v>
      </c>
      <c r="S77" s="10" t="s">
        <v>471</v>
      </c>
    </row>
    <row r="78" spans="1:19" ht="54" customHeight="1" x14ac:dyDescent="0.25">
      <c r="A78" s="10" t="s">
        <v>472</v>
      </c>
      <c r="B78" s="10" t="s">
        <v>448</v>
      </c>
      <c r="C78" s="10" t="s">
        <v>49</v>
      </c>
      <c r="D78" s="10" t="s">
        <v>473</v>
      </c>
      <c r="E78" s="10" t="s">
        <v>474</v>
      </c>
      <c r="F78" s="10" t="s">
        <v>71</v>
      </c>
      <c r="G78" s="10" t="s">
        <v>49</v>
      </c>
      <c r="H78" s="10" t="s">
        <v>34</v>
      </c>
      <c r="I78" s="11" t="s">
        <v>40</v>
      </c>
      <c r="J78" s="12">
        <v>12</v>
      </c>
      <c r="K78" s="13">
        <v>3</v>
      </c>
      <c r="L78" s="10" t="s">
        <v>475</v>
      </c>
      <c r="M78" s="10" t="s">
        <v>51</v>
      </c>
      <c r="N78" s="10" t="s">
        <v>31</v>
      </c>
      <c r="O78" s="12">
        <v>32</v>
      </c>
      <c r="P78" s="14">
        <f>Settings!$B$4+O78</f>
        <v>46088</v>
      </c>
      <c r="Q78" s="14">
        <f t="shared" si="2"/>
        <v>46090</v>
      </c>
      <c r="R78" s="10" t="s">
        <v>93</v>
      </c>
      <c r="S78" s="10" t="s">
        <v>476</v>
      </c>
    </row>
    <row r="79" spans="1:19" ht="54" customHeight="1" x14ac:dyDescent="0.25">
      <c r="A79" s="10" t="s">
        <v>477</v>
      </c>
      <c r="B79" s="10" t="s">
        <v>448</v>
      </c>
      <c r="C79" s="10" t="s">
        <v>110</v>
      </c>
      <c r="D79" s="10" t="s">
        <v>478</v>
      </c>
      <c r="E79" s="10" t="s">
        <v>479</v>
      </c>
      <c r="F79" s="10" t="s">
        <v>71</v>
      </c>
      <c r="G79" s="10" t="s">
        <v>68</v>
      </c>
      <c r="H79" s="10" t="s">
        <v>34</v>
      </c>
      <c r="I79" s="11" t="s">
        <v>48</v>
      </c>
      <c r="J79" s="12">
        <v>6</v>
      </c>
      <c r="K79" s="13">
        <v>1.5</v>
      </c>
      <c r="L79" s="10" t="s">
        <v>88</v>
      </c>
      <c r="M79" s="10" t="s">
        <v>51</v>
      </c>
      <c r="N79" s="10" t="s">
        <v>31</v>
      </c>
      <c r="O79" s="12">
        <v>34</v>
      </c>
      <c r="P79" s="14">
        <f>Settings!$B$4+O79</f>
        <v>46090</v>
      </c>
      <c r="Q79" s="14">
        <f t="shared" si="2"/>
        <v>46091</v>
      </c>
      <c r="R79" s="10" t="s">
        <v>93</v>
      </c>
      <c r="S79" s="10" t="s">
        <v>480</v>
      </c>
    </row>
    <row r="80" spans="1:19" ht="54" customHeight="1" x14ac:dyDescent="0.25">
      <c r="A80" s="10" t="s">
        <v>481</v>
      </c>
      <c r="B80" s="10" t="s">
        <v>62</v>
      </c>
      <c r="C80" s="10" t="s">
        <v>482</v>
      </c>
      <c r="D80" s="10" t="s">
        <v>483</v>
      </c>
      <c r="E80" s="10" t="s">
        <v>484</v>
      </c>
      <c r="F80" s="10" t="s">
        <v>72</v>
      </c>
      <c r="G80" s="10" t="s">
        <v>62</v>
      </c>
      <c r="H80" s="10" t="s">
        <v>34</v>
      </c>
      <c r="I80" s="11" t="s">
        <v>32</v>
      </c>
      <c r="J80" s="12">
        <v>8</v>
      </c>
      <c r="K80" s="13">
        <v>2</v>
      </c>
      <c r="L80" s="10" t="s">
        <v>485</v>
      </c>
      <c r="M80" s="10" t="s">
        <v>51</v>
      </c>
      <c r="N80" s="10" t="s">
        <v>31</v>
      </c>
      <c r="O80" s="12">
        <v>34</v>
      </c>
      <c r="P80" s="14">
        <f>Settings!$B$4+O80</f>
        <v>46090</v>
      </c>
      <c r="Q80" s="14">
        <f t="shared" si="2"/>
        <v>46091</v>
      </c>
      <c r="R80" s="10" t="s">
        <v>93</v>
      </c>
      <c r="S80" s="10" t="s">
        <v>486</v>
      </c>
    </row>
    <row r="81" spans="1:19" ht="54" customHeight="1" x14ac:dyDescent="0.25">
      <c r="A81" s="10" t="s">
        <v>487</v>
      </c>
      <c r="B81" s="10" t="s">
        <v>62</v>
      </c>
      <c r="C81" s="10" t="s">
        <v>158</v>
      </c>
      <c r="D81" s="10" t="s">
        <v>488</v>
      </c>
      <c r="E81" s="10" t="s">
        <v>489</v>
      </c>
      <c r="F81" s="10" t="s">
        <v>72</v>
      </c>
      <c r="G81" s="10" t="s">
        <v>62</v>
      </c>
      <c r="H81" s="10" t="s">
        <v>34</v>
      </c>
      <c r="I81" s="11" t="s">
        <v>32</v>
      </c>
      <c r="J81" s="12">
        <v>14</v>
      </c>
      <c r="K81" s="13">
        <v>3</v>
      </c>
      <c r="L81" s="10" t="s">
        <v>490</v>
      </c>
      <c r="M81" s="10" t="s">
        <v>51</v>
      </c>
      <c r="N81" s="10" t="s">
        <v>31</v>
      </c>
      <c r="O81" s="12">
        <v>35</v>
      </c>
      <c r="P81" s="14">
        <f>Settings!$B$4+O81</f>
        <v>46091</v>
      </c>
      <c r="Q81" s="14">
        <f t="shared" si="2"/>
        <v>46093</v>
      </c>
      <c r="R81" s="10" t="s">
        <v>93</v>
      </c>
      <c r="S81" s="10" t="s">
        <v>491</v>
      </c>
    </row>
    <row r="82" spans="1:19" ht="54" customHeight="1" x14ac:dyDescent="0.25">
      <c r="A82" s="10" t="s">
        <v>492</v>
      </c>
      <c r="B82" s="10" t="s">
        <v>62</v>
      </c>
      <c r="C82" s="10" t="s">
        <v>50</v>
      </c>
      <c r="D82" s="10" t="s">
        <v>493</v>
      </c>
      <c r="E82" s="10" t="s">
        <v>494</v>
      </c>
      <c r="F82" s="10" t="s">
        <v>72</v>
      </c>
      <c r="G82" s="10" t="s">
        <v>62</v>
      </c>
      <c r="H82" s="10" t="s">
        <v>50</v>
      </c>
      <c r="I82" s="11" t="s">
        <v>40</v>
      </c>
      <c r="J82" s="12">
        <v>12</v>
      </c>
      <c r="K82" s="13">
        <v>3</v>
      </c>
      <c r="L82" s="10" t="s">
        <v>495</v>
      </c>
      <c r="M82" s="10" t="s">
        <v>51</v>
      </c>
      <c r="N82" s="10" t="s">
        <v>31</v>
      </c>
      <c r="O82" s="12">
        <v>36</v>
      </c>
      <c r="P82" s="14">
        <f>Settings!$B$4+O82</f>
        <v>46092</v>
      </c>
      <c r="Q82" s="14">
        <f t="shared" si="2"/>
        <v>46094</v>
      </c>
      <c r="R82" s="10" t="s">
        <v>93</v>
      </c>
      <c r="S82" s="10" t="s">
        <v>496</v>
      </c>
    </row>
    <row r="83" spans="1:19" ht="54" customHeight="1" x14ac:dyDescent="0.25">
      <c r="A83" s="10" t="s">
        <v>497</v>
      </c>
      <c r="B83" s="10" t="s">
        <v>62</v>
      </c>
      <c r="C83" s="10" t="s">
        <v>110</v>
      </c>
      <c r="D83" s="10" t="s">
        <v>498</v>
      </c>
      <c r="E83" s="10" t="s">
        <v>499</v>
      </c>
      <c r="F83" s="10" t="s">
        <v>72</v>
      </c>
      <c r="G83" s="10" t="s">
        <v>62</v>
      </c>
      <c r="H83" s="10" t="s">
        <v>34</v>
      </c>
      <c r="I83" s="11" t="s">
        <v>40</v>
      </c>
      <c r="J83" s="12">
        <v>10</v>
      </c>
      <c r="K83" s="13">
        <v>2</v>
      </c>
      <c r="L83" s="10" t="s">
        <v>500</v>
      </c>
      <c r="M83" s="10" t="s">
        <v>51</v>
      </c>
      <c r="N83" s="10" t="s">
        <v>31</v>
      </c>
      <c r="O83" s="12">
        <v>37</v>
      </c>
      <c r="P83" s="14">
        <f>Settings!$B$4+O83</f>
        <v>46093</v>
      </c>
      <c r="Q83" s="14">
        <f t="shared" si="2"/>
        <v>46094</v>
      </c>
      <c r="R83" s="10" t="s">
        <v>93</v>
      </c>
      <c r="S83" s="10" t="s">
        <v>501</v>
      </c>
    </row>
    <row r="84" spans="1:19" ht="54" customHeight="1" x14ac:dyDescent="0.25">
      <c r="A84" s="10" t="s">
        <v>502</v>
      </c>
      <c r="B84" s="10" t="s">
        <v>62</v>
      </c>
      <c r="C84" s="10" t="s">
        <v>503</v>
      </c>
      <c r="D84" s="10" t="s">
        <v>504</v>
      </c>
      <c r="E84" s="10" t="s">
        <v>505</v>
      </c>
      <c r="F84" s="10" t="s">
        <v>72</v>
      </c>
      <c r="G84" s="10" t="s">
        <v>62</v>
      </c>
      <c r="H84" s="10" t="s">
        <v>34</v>
      </c>
      <c r="I84" s="11" t="s">
        <v>40</v>
      </c>
      <c r="J84" s="12">
        <v>4</v>
      </c>
      <c r="K84" s="13">
        <v>1</v>
      </c>
      <c r="L84" s="10" t="s">
        <v>93</v>
      </c>
      <c r="M84" s="10" t="s">
        <v>51</v>
      </c>
      <c r="N84" s="10" t="s">
        <v>31</v>
      </c>
      <c r="O84" s="12">
        <v>37</v>
      </c>
      <c r="P84" s="14">
        <f>Settings!$B$4+O84</f>
        <v>46093</v>
      </c>
      <c r="Q84" s="14">
        <f t="shared" si="2"/>
        <v>46093</v>
      </c>
      <c r="R84" s="10" t="s">
        <v>93</v>
      </c>
      <c r="S84" s="10" t="s">
        <v>506</v>
      </c>
    </row>
    <row r="85" spans="1:19" ht="54" customHeight="1" x14ac:dyDescent="0.25">
      <c r="A85" s="10" t="s">
        <v>507</v>
      </c>
      <c r="B85" s="10" t="s">
        <v>508</v>
      </c>
      <c r="C85" s="10" t="s">
        <v>509</v>
      </c>
      <c r="D85" s="10" t="s">
        <v>510</v>
      </c>
      <c r="E85" s="10" t="s">
        <v>511</v>
      </c>
      <c r="F85" s="10" t="s">
        <v>73</v>
      </c>
      <c r="G85" s="10" t="s">
        <v>66</v>
      </c>
      <c r="H85" s="10" t="s">
        <v>34</v>
      </c>
      <c r="I85" s="11" t="s">
        <v>40</v>
      </c>
      <c r="J85" s="12">
        <v>8</v>
      </c>
      <c r="K85" s="13">
        <v>2</v>
      </c>
      <c r="L85" s="10" t="s">
        <v>512</v>
      </c>
      <c r="M85" s="10" t="s">
        <v>51</v>
      </c>
      <c r="N85" s="10" t="s">
        <v>31</v>
      </c>
      <c r="O85" s="12">
        <v>38</v>
      </c>
      <c r="P85" s="14">
        <f>Settings!$B$4+O85</f>
        <v>46094</v>
      </c>
      <c r="Q85" s="14">
        <f t="shared" si="2"/>
        <v>46095</v>
      </c>
      <c r="R85" s="10" t="s">
        <v>93</v>
      </c>
      <c r="S85" s="10" t="s">
        <v>513</v>
      </c>
    </row>
    <row r="86" spans="1:19" ht="54" customHeight="1" x14ac:dyDescent="0.25">
      <c r="A86" s="10" t="s">
        <v>514</v>
      </c>
      <c r="B86" s="10" t="s">
        <v>508</v>
      </c>
      <c r="C86" s="10" t="s">
        <v>63</v>
      </c>
      <c r="D86" s="10" t="s">
        <v>515</v>
      </c>
      <c r="E86" s="10" t="s">
        <v>516</v>
      </c>
      <c r="F86" s="10" t="s">
        <v>73</v>
      </c>
      <c r="G86" s="10" t="s">
        <v>66</v>
      </c>
      <c r="H86" s="10" t="s">
        <v>63</v>
      </c>
      <c r="I86" s="11" t="s">
        <v>40</v>
      </c>
      <c r="J86" s="12">
        <v>6</v>
      </c>
      <c r="K86" s="13">
        <v>1.5</v>
      </c>
      <c r="L86" s="10" t="s">
        <v>122</v>
      </c>
      <c r="M86" s="10" t="s">
        <v>51</v>
      </c>
      <c r="N86" s="10" t="s">
        <v>31</v>
      </c>
      <c r="O86" s="12">
        <v>39</v>
      </c>
      <c r="P86" s="14">
        <f>Settings!$B$4+O86</f>
        <v>46095</v>
      </c>
      <c r="Q86" s="14">
        <f t="shared" si="2"/>
        <v>46096</v>
      </c>
      <c r="R86" s="10" t="s">
        <v>93</v>
      </c>
      <c r="S86" s="10" t="s">
        <v>517</v>
      </c>
    </row>
    <row r="87" spans="1:19" ht="54" customHeight="1" x14ac:dyDescent="0.25">
      <c r="A87" s="10" t="s">
        <v>518</v>
      </c>
      <c r="B87" s="10" t="s">
        <v>508</v>
      </c>
      <c r="C87" s="10" t="s">
        <v>57</v>
      </c>
      <c r="D87" s="10" t="s">
        <v>519</v>
      </c>
      <c r="E87" s="10" t="s">
        <v>520</v>
      </c>
      <c r="F87" s="10" t="s">
        <v>73</v>
      </c>
      <c r="G87" s="10" t="s">
        <v>66</v>
      </c>
      <c r="H87" s="10" t="s">
        <v>57</v>
      </c>
      <c r="I87" s="11" t="s">
        <v>48</v>
      </c>
      <c r="J87" s="12">
        <v>4</v>
      </c>
      <c r="K87" s="13">
        <v>1</v>
      </c>
      <c r="L87" s="10" t="s">
        <v>128</v>
      </c>
      <c r="M87" s="10" t="s">
        <v>51</v>
      </c>
      <c r="N87" s="10" t="s">
        <v>31</v>
      </c>
      <c r="O87" s="12">
        <v>39</v>
      </c>
      <c r="P87" s="14">
        <f>Settings!$B$4+O87</f>
        <v>46095</v>
      </c>
      <c r="Q87" s="14">
        <f t="shared" si="2"/>
        <v>46095</v>
      </c>
      <c r="R87" s="10" t="s">
        <v>93</v>
      </c>
      <c r="S87" s="10" t="s">
        <v>521</v>
      </c>
    </row>
    <row r="88" spans="1:19" ht="54" customHeight="1" x14ac:dyDescent="0.25">
      <c r="A88" s="10" t="s">
        <v>522</v>
      </c>
      <c r="B88" s="10" t="s">
        <v>508</v>
      </c>
      <c r="C88" s="10" t="s">
        <v>523</v>
      </c>
      <c r="D88" s="10" t="s">
        <v>524</v>
      </c>
      <c r="E88" s="10" t="s">
        <v>525</v>
      </c>
      <c r="F88" s="10" t="s">
        <v>73</v>
      </c>
      <c r="G88" s="10" t="s">
        <v>33</v>
      </c>
      <c r="H88" s="10" t="s">
        <v>34</v>
      </c>
      <c r="I88" s="11" t="s">
        <v>48</v>
      </c>
      <c r="J88" s="12">
        <v>3</v>
      </c>
      <c r="K88" s="13">
        <v>0.5</v>
      </c>
      <c r="L88" s="10" t="s">
        <v>93</v>
      </c>
      <c r="M88" s="10" t="s">
        <v>51</v>
      </c>
      <c r="N88" s="10" t="s">
        <v>31</v>
      </c>
      <c r="O88" s="12">
        <v>38</v>
      </c>
      <c r="P88" s="14">
        <f>Settings!$B$4+O88</f>
        <v>46094</v>
      </c>
      <c r="Q88" s="14">
        <f t="shared" si="2"/>
        <v>46094</v>
      </c>
      <c r="R88" s="10" t="s">
        <v>93</v>
      </c>
      <c r="S88" s="10" t="s">
        <v>526</v>
      </c>
    </row>
    <row r="89" spans="1:19" ht="54" customHeight="1" x14ac:dyDescent="0.25">
      <c r="A89" s="10" t="s">
        <v>527</v>
      </c>
      <c r="B89" s="10" t="s">
        <v>508</v>
      </c>
      <c r="C89" s="10" t="s">
        <v>528</v>
      </c>
      <c r="D89" s="10" t="s">
        <v>529</v>
      </c>
      <c r="E89" s="10" t="s">
        <v>530</v>
      </c>
      <c r="F89" s="10" t="s">
        <v>73</v>
      </c>
      <c r="G89" s="10" t="s">
        <v>68</v>
      </c>
      <c r="H89" s="10" t="s">
        <v>34</v>
      </c>
      <c r="I89" s="11" t="s">
        <v>48</v>
      </c>
      <c r="J89" s="12">
        <v>4</v>
      </c>
      <c r="K89" s="13">
        <v>1</v>
      </c>
      <c r="L89" s="10" t="s">
        <v>93</v>
      </c>
      <c r="M89" s="10" t="s">
        <v>51</v>
      </c>
      <c r="N89" s="10" t="s">
        <v>31</v>
      </c>
      <c r="O89" s="12">
        <v>38</v>
      </c>
      <c r="P89" s="14">
        <f>Settings!$B$4+O89</f>
        <v>46094</v>
      </c>
      <c r="Q89" s="14">
        <f t="shared" si="2"/>
        <v>46094</v>
      </c>
      <c r="R89" s="10" t="s">
        <v>93</v>
      </c>
      <c r="S89" s="10" t="s">
        <v>531</v>
      </c>
    </row>
    <row r="90" spans="1:19" ht="54" customHeight="1" x14ac:dyDescent="0.25">
      <c r="A90" s="10" t="s">
        <v>532</v>
      </c>
      <c r="B90" s="10" t="s">
        <v>533</v>
      </c>
      <c r="C90" s="10" t="s">
        <v>534</v>
      </c>
      <c r="D90" s="10" t="s">
        <v>535</v>
      </c>
      <c r="E90" s="10" t="s">
        <v>536</v>
      </c>
      <c r="F90" s="10" t="s">
        <v>74</v>
      </c>
      <c r="G90" s="10" t="s">
        <v>49</v>
      </c>
      <c r="H90" s="10" t="s">
        <v>34</v>
      </c>
      <c r="I90" s="11" t="s">
        <v>40</v>
      </c>
      <c r="J90" s="12">
        <v>8</v>
      </c>
      <c r="K90" s="13">
        <v>2</v>
      </c>
      <c r="L90" s="10" t="s">
        <v>502</v>
      </c>
      <c r="M90" s="10" t="s">
        <v>51</v>
      </c>
      <c r="N90" s="10" t="s">
        <v>31</v>
      </c>
      <c r="O90" s="12">
        <v>40</v>
      </c>
      <c r="P90" s="14">
        <f>Settings!$B$4+O90</f>
        <v>46096</v>
      </c>
      <c r="Q90" s="14">
        <f t="shared" si="2"/>
        <v>46097</v>
      </c>
      <c r="R90" s="10" t="s">
        <v>93</v>
      </c>
      <c r="S90" s="10" t="s">
        <v>537</v>
      </c>
    </row>
    <row r="91" spans="1:19" ht="54" customHeight="1" x14ac:dyDescent="0.25">
      <c r="A91" s="10" t="s">
        <v>538</v>
      </c>
      <c r="B91" s="10" t="s">
        <v>533</v>
      </c>
      <c r="C91" s="10" t="s">
        <v>534</v>
      </c>
      <c r="D91" s="10" t="s">
        <v>539</v>
      </c>
      <c r="E91" s="10" t="s">
        <v>540</v>
      </c>
      <c r="F91" s="10" t="s">
        <v>74</v>
      </c>
      <c r="G91" s="10" t="s">
        <v>49</v>
      </c>
      <c r="H91" s="10" t="s">
        <v>34</v>
      </c>
      <c r="I91" s="11" t="s">
        <v>48</v>
      </c>
      <c r="J91" s="12">
        <v>10</v>
      </c>
      <c r="K91" s="13">
        <v>2</v>
      </c>
      <c r="L91" s="10" t="s">
        <v>541</v>
      </c>
      <c r="M91" s="10" t="s">
        <v>51</v>
      </c>
      <c r="N91" s="10" t="s">
        <v>31</v>
      </c>
      <c r="O91" s="12">
        <v>41</v>
      </c>
      <c r="P91" s="14">
        <f>Settings!$B$4+O91</f>
        <v>46097</v>
      </c>
      <c r="Q91" s="14">
        <f t="shared" si="2"/>
        <v>46098</v>
      </c>
      <c r="R91" s="10" t="s">
        <v>93</v>
      </c>
      <c r="S91" s="10" t="s">
        <v>542</v>
      </c>
    </row>
    <row r="92" spans="1:19" ht="54" customHeight="1" x14ac:dyDescent="0.25">
      <c r="A92" s="10" t="s">
        <v>543</v>
      </c>
      <c r="B92" s="10" t="s">
        <v>533</v>
      </c>
      <c r="C92" s="10" t="s">
        <v>544</v>
      </c>
      <c r="D92" s="10" t="s">
        <v>545</v>
      </c>
      <c r="E92" s="10" t="s">
        <v>546</v>
      </c>
      <c r="F92" s="10" t="s">
        <v>74</v>
      </c>
      <c r="G92" s="10" t="s">
        <v>68</v>
      </c>
      <c r="H92" s="10" t="s">
        <v>34</v>
      </c>
      <c r="I92" s="11" t="s">
        <v>40</v>
      </c>
      <c r="J92" s="12">
        <v>6</v>
      </c>
      <c r="K92" s="13">
        <v>1.5</v>
      </c>
      <c r="L92" s="10" t="s">
        <v>547</v>
      </c>
      <c r="M92" s="10" t="s">
        <v>51</v>
      </c>
      <c r="N92" s="10" t="s">
        <v>31</v>
      </c>
      <c r="O92" s="12">
        <v>41</v>
      </c>
      <c r="P92" s="14">
        <f>Settings!$B$4+O92</f>
        <v>46097</v>
      </c>
      <c r="Q92" s="14">
        <f t="shared" si="2"/>
        <v>46098</v>
      </c>
      <c r="R92" s="10" t="s">
        <v>93</v>
      </c>
      <c r="S92" s="10" t="s">
        <v>548</v>
      </c>
    </row>
    <row r="93" spans="1:19" ht="54" customHeight="1" x14ac:dyDescent="0.25">
      <c r="A93" s="10" t="s">
        <v>549</v>
      </c>
      <c r="B93" s="10" t="s">
        <v>533</v>
      </c>
      <c r="C93" s="10" t="s">
        <v>550</v>
      </c>
      <c r="D93" s="10" t="s">
        <v>551</v>
      </c>
      <c r="E93" s="10" t="s">
        <v>552</v>
      </c>
      <c r="F93" s="10" t="s">
        <v>74</v>
      </c>
      <c r="G93" s="10" t="s">
        <v>68</v>
      </c>
      <c r="H93" s="10" t="s">
        <v>50</v>
      </c>
      <c r="I93" s="11" t="s">
        <v>40</v>
      </c>
      <c r="J93" s="12">
        <v>6</v>
      </c>
      <c r="K93" s="13">
        <v>1.5</v>
      </c>
      <c r="L93" s="10" t="s">
        <v>379</v>
      </c>
      <c r="M93" s="10" t="s">
        <v>51</v>
      </c>
      <c r="N93" s="10" t="s">
        <v>31</v>
      </c>
      <c r="O93" s="12">
        <v>41</v>
      </c>
      <c r="P93" s="14">
        <f>Settings!$B$4+O93</f>
        <v>46097</v>
      </c>
      <c r="Q93" s="14">
        <f t="shared" si="2"/>
        <v>46098</v>
      </c>
      <c r="R93" s="10" t="s">
        <v>93</v>
      </c>
      <c r="S93" s="10" t="s">
        <v>553</v>
      </c>
    </row>
    <row r="94" spans="1:19" ht="54" customHeight="1" x14ac:dyDescent="0.25">
      <c r="A94" s="10" t="s">
        <v>554</v>
      </c>
      <c r="B94" s="10" t="s">
        <v>533</v>
      </c>
      <c r="C94" s="10" t="s">
        <v>508</v>
      </c>
      <c r="D94" s="10" t="s">
        <v>555</v>
      </c>
      <c r="E94" s="10" t="s">
        <v>556</v>
      </c>
      <c r="F94" s="10" t="s">
        <v>74</v>
      </c>
      <c r="G94" s="10" t="s">
        <v>33</v>
      </c>
      <c r="H94" s="10" t="s">
        <v>34</v>
      </c>
      <c r="I94" s="11" t="s">
        <v>48</v>
      </c>
      <c r="J94" s="12">
        <v>4</v>
      </c>
      <c r="K94" s="13">
        <v>1</v>
      </c>
      <c r="L94" s="10" t="s">
        <v>93</v>
      </c>
      <c r="M94" s="10" t="s">
        <v>51</v>
      </c>
      <c r="N94" s="10" t="s">
        <v>31</v>
      </c>
      <c r="O94" s="12">
        <v>40</v>
      </c>
      <c r="P94" s="14">
        <f>Settings!$B$4+O94</f>
        <v>46096</v>
      </c>
      <c r="Q94" s="14">
        <f t="shared" si="2"/>
        <v>46096</v>
      </c>
      <c r="R94" s="10" t="s">
        <v>93</v>
      </c>
      <c r="S94" s="10" t="s">
        <v>557</v>
      </c>
    </row>
  </sheetData>
  <conditionalFormatting sqref="A2:S94">
    <cfRule type="expression" dxfId="9" priority="20">
      <formula>AND($Q2&lt;TODAY(),$N2&lt;&gt;"Done")</formula>
    </cfRule>
  </conditionalFormatting>
  <conditionalFormatting sqref="I2:I94">
    <cfRule type="expression" dxfId="8" priority="11">
      <formula>$I2="P0"</formula>
    </cfRule>
    <cfRule type="expression" dxfId="7" priority="12">
      <formula>$I2="P1"</formula>
    </cfRule>
    <cfRule type="expression" dxfId="6" priority="13">
      <formula>$I2="P2"</formula>
    </cfRule>
  </conditionalFormatting>
  <conditionalFormatting sqref="N2:N94">
    <cfRule type="expression" dxfId="5" priority="14">
      <formula>$N2="Backlog"</formula>
    </cfRule>
    <cfRule type="expression" dxfId="4" priority="15">
      <formula>$N2="Planned"</formula>
    </cfRule>
    <cfRule type="expression" dxfId="3" priority="16">
      <formula>$N2="In Progress"</formula>
    </cfRule>
    <cfRule type="expression" dxfId="2" priority="17">
      <formula>$N2="Blocked"</formula>
    </cfRule>
    <cfRule type="expression" dxfId="1" priority="18">
      <formula>$N2="Review"</formula>
    </cfRule>
    <cfRule type="expression" dxfId="0" priority="19">
      <formula>$N2="Done"</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showGridLines="0" workbookViewId="0"/>
  </sheetViews>
  <sheetFormatPr defaultRowHeight="15" x14ac:dyDescent="0.25"/>
  <cols>
    <col min="1" max="1" width="38" customWidth="1"/>
    <col min="2" max="3" width="13" customWidth="1"/>
    <col min="4" max="4" width="15" customWidth="1"/>
    <col min="5" max="5" width="12" customWidth="1"/>
  </cols>
  <sheetData>
    <row r="1" spans="1:5" x14ac:dyDescent="0.25">
      <c r="A1" s="9" t="s">
        <v>28</v>
      </c>
      <c r="B1" s="9" t="s">
        <v>558</v>
      </c>
      <c r="C1" s="9" t="s">
        <v>559</v>
      </c>
      <c r="D1" s="9" t="s">
        <v>83</v>
      </c>
      <c r="E1" s="9" t="s">
        <v>560</v>
      </c>
    </row>
    <row r="2" spans="1:5" x14ac:dyDescent="0.25">
      <c r="A2" s="10" t="s">
        <v>36</v>
      </c>
      <c r="B2" s="15">
        <v>46056</v>
      </c>
      <c r="C2" s="15">
        <v>46059</v>
      </c>
      <c r="D2" s="11">
        <v>0</v>
      </c>
      <c r="E2" s="11">
        <v>4</v>
      </c>
    </row>
    <row r="3" spans="1:5" x14ac:dyDescent="0.25">
      <c r="A3" s="10" t="s">
        <v>44</v>
      </c>
      <c r="B3" s="15">
        <v>46060</v>
      </c>
      <c r="C3" s="15">
        <v>46062</v>
      </c>
      <c r="D3" s="11">
        <v>4</v>
      </c>
      <c r="E3" s="11">
        <v>3</v>
      </c>
    </row>
    <row r="4" spans="1:5" x14ac:dyDescent="0.25">
      <c r="A4" s="10" t="s">
        <v>52</v>
      </c>
      <c r="B4" s="15">
        <v>46063</v>
      </c>
      <c r="C4" s="15">
        <v>46074</v>
      </c>
      <c r="D4" s="11">
        <v>7</v>
      </c>
      <c r="E4" s="11">
        <v>12</v>
      </c>
    </row>
    <row r="5" spans="1:5" x14ac:dyDescent="0.25">
      <c r="A5" s="10" t="s">
        <v>59</v>
      </c>
      <c r="B5" s="15">
        <v>46074</v>
      </c>
      <c r="C5" s="15">
        <v>46078</v>
      </c>
      <c r="D5" s="11">
        <v>18</v>
      </c>
      <c r="E5" s="11">
        <v>5</v>
      </c>
    </row>
    <row r="6" spans="1:5" x14ac:dyDescent="0.25">
      <c r="A6" s="10" t="s">
        <v>64</v>
      </c>
      <c r="B6" s="15">
        <v>46074</v>
      </c>
      <c r="C6" s="15">
        <v>46082</v>
      </c>
      <c r="D6" s="11">
        <v>18</v>
      </c>
      <c r="E6" s="11">
        <v>9</v>
      </c>
    </row>
    <row r="7" spans="1:5" x14ac:dyDescent="0.25">
      <c r="A7" s="10" t="s">
        <v>67</v>
      </c>
      <c r="B7" s="15">
        <v>46078</v>
      </c>
      <c r="C7" s="15">
        <v>46085</v>
      </c>
      <c r="D7" s="11">
        <v>22</v>
      </c>
      <c r="E7" s="11">
        <v>8</v>
      </c>
    </row>
    <row r="8" spans="1:5" x14ac:dyDescent="0.25">
      <c r="A8" s="10" t="s">
        <v>69</v>
      </c>
      <c r="B8" s="15">
        <v>46080</v>
      </c>
      <c r="C8" s="15">
        <v>46088</v>
      </c>
      <c r="D8" s="11">
        <v>24</v>
      </c>
      <c r="E8" s="11">
        <v>9</v>
      </c>
    </row>
    <row r="9" spans="1:5" x14ac:dyDescent="0.25">
      <c r="A9" s="10" t="s">
        <v>71</v>
      </c>
      <c r="B9" s="15">
        <v>46086</v>
      </c>
      <c r="C9" s="15">
        <v>46091</v>
      </c>
      <c r="D9" s="11">
        <v>30</v>
      </c>
      <c r="E9" s="11">
        <v>6</v>
      </c>
    </row>
    <row r="10" spans="1:5" x14ac:dyDescent="0.25">
      <c r="A10" s="10" t="s">
        <v>70</v>
      </c>
      <c r="B10" s="15">
        <v>46088</v>
      </c>
      <c r="C10" s="15">
        <v>46092</v>
      </c>
      <c r="D10" s="11">
        <v>32</v>
      </c>
      <c r="E10" s="11">
        <v>5</v>
      </c>
    </row>
    <row r="11" spans="1:5" x14ac:dyDescent="0.25">
      <c r="A11" s="10" t="s">
        <v>72</v>
      </c>
      <c r="B11" s="15">
        <v>46090</v>
      </c>
      <c r="C11" s="15">
        <v>46094</v>
      </c>
      <c r="D11" s="11">
        <v>34</v>
      </c>
      <c r="E11" s="11">
        <v>5</v>
      </c>
    </row>
    <row r="12" spans="1:5" x14ac:dyDescent="0.25">
      <c r="A12" s="10" t="s">
        <v>73</v>
      </c>
      <c r="B12" s="15">
        <v>46094</v>
      </c>
      <c r="C12" s="15">
        <v>46096</v>
      </c>
      <c r="D12" s="11">
        <v>38</v>
      </c>
      <c r="E12" s="11">
        <v>3</v>
      </c>
    </row>
    <row r="13" spans="1:5" x14ac:dyDescent="0.25">
      <c r="A13" s="10" t="s">
        <v>74</v>
      </c>
      <c r="B13" s="15">
        <v>46096</v>
      </c>
      <c r="C13" s="15">
        <v>46098</v>
      </c>
      <c r="D13" s="11">
        <v>40</v>
      </c>
      <c r="E13" s="1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showGridLines="0" workbookViewId="0">
      <selection activeCell="R21" sqref="R21"/>
    </sheetView>
  </sheetViews>
  <sheetFormatPr defaultRowHeight="15" x14ac:dyDescent="0.25"/>
  <cols>
    <col min="1" max="1" width="40" customWidth="1"/>
    <col min="2" max="2" width="16" customWidth="1"/>
    <col min="3" max="3" width="14" customWidth="1"/>
  </cols>
  <sheetData>
    <row r="1" spans="1:3" ht="18.75" x14ac:dyDescent="0.3">
      <c r="A1" s="4" t="s">
        <v>561</v>
      </c>
    </row>
    <row r="2" spans="1:3" x14ac:dyDescent="0.25">
      <c r="A2" s="9" t="s">
        <v>28</v>
      </c>
      <c r="B2" s="9" t="s">
        <v>83</v>
      </c>
      <c r="C2" s="9" t="s">
        <v>560</v>
      </c>
    </row>
    <row r="3" spans="1:3" x14ac:dyDescent="0.25">
      <c r="A3" s="10" t="str">
        <f>'Stage Plan'!A2</f>
        <v>0 - Preproduction (Spec &amp; Design Lock)</v>
      </c>
      <c r="B3" s="11">
        <f>'Stage Plan'!D2</f>
        <v>0</v>
      </c>
      <c r="C3" s="11">
        <f>'Stage Plan'!E2</f>
        <v>4</v>
      </c>
    </row>
    <row r="4" spans="1:3" x14ac:dyDescent="0.25">
      <c r="A4" s="10" t="str">
        <f>'Stage Plan'!A3</f>
        <v>1 - Project Setup &amp; Tooling</v>
      </c>
      <c r="B4" s="11">
        <f>'Stage Plan'!D3</f>
        <v>4</v>
      </c>
      <c r="C4" s="11">
        <f>'Stage Plan'!E3</f>
        <v>3</v>
      </c>
    </row>
    <row r="5" spans="1:3" x14ac:dyDescent="0.25">
      <c r="A5" s="10" t="str">
        <f>'Stage Plan'!A4</f>
        <v>2 - Core Game Engine (Rules/State)</v>
      </c>
      <c r="B5" s="11">
        <f>'Stage Plan'!D4</f>
        <v>7</v>
      </c>
      <c r="C5" s="11">
        <f>'Stage Plan'!E4</f>
        <v>12</v>
      </c>
    </row>
    <row r="6" spans="1:3" x14ac:dyDescent="0.25">
      <c r="A6" s="10" t="str">
        <f>'Stage Plan'!A5</f>
        <v>3 - Offline Gameplay Loop</v>
      </c>
      <c r="B6" s="11">
        <f>'Stage Plan'!D5</f>
        <v>18</v>
      </c>
      <c r="C6" s="11">
        <f>'Stage Plan'!E5</f>
        <v>5</v>
      </c>
    </row>
    <row r="7" spans="1:3" x14ac:dyDescent="0.25">
      <c r="A7" s="10" t="str">
        <f>'Stage Plan'!A6</f>
        <v>4 - UI/UX &amp; Input</v>
      </c>
      <c r="B7" s="11">
        <f>'Stage Plan'!D6</f>
        <v>18</v>
      </c>
      <c r="C7" s="11">
        <f>'Stage Plan'!E6</f>
        <v>9</v>
      </c>
    </row>
    <row r="8" spans="1:3" x14ac:dyDescent="0.25">
      <c r="A8" s="10" t="str">
        <f>'Stage Plan'!A7</f>
        <v>5 - Bots (AI)</v>
      </c>
      <c r="B8" s="11">
        <f>'Stage Plan'!D7</f>
        <v>22</v>
      </c>
      <c r="C8" s="11">
        <f>'Stage Plan'!E7</f>
        <v>8</v>
      </c>
    </row>
    <row r="9" spans="1:3" x14ac:dyDescent="0.25">
      <c r="A9" s="10" t="str">
        <f>'Stage Plan'!A8</f>
        <v>6 - Online Multiplayer (EOS + P2P)</v>
      </c>
      <c r="B9" s="11">
        <f>'Stage Plan'!D8</f>
        <v>24</v>
      </c>
      <c r="C9" s="11">
        <f>'Stage Plan'!E8</f>
        <v>9</v>
      </c>
    </row>
    <row r="10" spans="1:3" x14ac:dyDescent="0.25">
      <c r="A10" s="10" t="str">
        <f>'Stage Plan'!A9</f>
        <v>8 - Polish (Audio/Accessibility/Perf)</v>
      </c>
      <c r="B10" s="11">
        <f>'Stage Plan'!D9</f>
        <v>30</v>
      </c>
      <c r="C10" s="11">
        <f>'Stage Plan'!E9</f>
        <v>6</v>
      </c>
    </row>
    <row r="11" spans="1:3" x14ac:dyDescent="0.25">
      <c r="A11" s="10" t="str">
        <f>'Stage Plan'!A10</f>
        <v>7 - Reconnect &amp; Resilience</v>
      </c>
      <c r="B11" s="11">
        <f>'Stage Plan'!D10</f>
        <v>32</v>
      </c>
      <c r="C11" s="11">
        <f>'Stage Plan'!E10</f>
        <v>5</v>
      </c>
    </row>
    <row r="12" spans="1:3" x14ac:dyDescent="0.25">
      <c r="A12" s="10" t="str">
        <f>'Stage Plan'!A11</f>
        <v>9 - QA &amp; Test Matrix</v>
      </c>
      <c r="B12" s="11">
        <f>'Stage Plan'!D11</f>
        <v>34</v>
      </c>
      <c r="C12" s="11">
        <f>'Stage Plan'!E11</f>
        <v>5</v>
      </c>
    </row>
    <row r="13" spans="1:3" x14ac:dyDescent="0.25">
      <c r="A13" s="10" t="str">
        <f>'Stage Plan'!A12</f>
        <v>10 - Builds &amp; Release Pipeline</v>
      </c>
      <c r="B13" s="11">
        <f>'Stage Plan'!D12</f>
        <v>38</v>
      </c>
      <c r="C13" s="11">
        <f>'Stage Plan'!E12</f>
        <v>3</v>
      </c>
    </row>
    <row r="14" spans="1:3" x14ac:dyDescent="0.25">
      <c r="A14" s="10" t="str">
        <f>'Stage Plan'!A13</f>
        <v>11 - Store/Distribution Prep</v>
      </c>
      <c r="B14" s="11">
        <f>'Stage Plan'!D13</f>
        <v>40</v>
      </c>
      <c r="C14" s="11">
        <f>'Stage Plan'!E13</f>
        <v>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7"/>
  <sheetViews>
    <sheetView showGridLines="0" workbookViewId="0">
      <selection activeCell="C1" sqref="C1:C1048576"/>
    </sheetView>
  </sheetViews>
  <sheetFormatPr defaultRowHeight="15" x14ac:dyDescent="0.25"/>
  <cols>
    <col min="1" max="1" width="44" customWidth="1"/>
    <col min="2" max="2" width="10" customWidth="1"/>
    <col min="3" max="3" width="4.140625" customWidth="1"/>
    <col min="4" max="4" width="2" customWidth="1"/>
  </cols>
  <sheetData>
    <row r="1" spans="1:2" ht="18.75" x14ac:dyDescent="0.3">
      <c r="A1" s="4" t="s">
        <v>562</v>
      </c>
    </row>
    <row r="3" spans="1:2" x14ac:dyDescent="0.25">
      <c r="A3" s="8" t="s">
        <v>563</v>
      </c>
    </row>
    <row r="4" spans="1:2" x14ac:dyDescent="0.25">
      <c r="A4" s="9" t="s">
        <v>23</v>
      </c>
      <c r="B4" s="9" t="s">
        <v>564</v>
      </c>
    </row>
    <row r="5" spans="1:2" x14ac:dyDescent="0.25">
      <c r="A5" s="10" t="s">
        <v>31</v>
      </c>
      <c r="B5" s="11">
        <f>COUNTIF(Tasks!$N$2:$N$94,"Backlog")</f>
        <v>93</v>
      </c>
    </row>
    <row r="6" spans="1:2" x14ac:dyDescent="0.25">
      <c r="A6" s="10" t="s">
        <v>39</v>
      </c>
      <c r="B6" s="11">
        <f>COUNTIF(Tasks!$N$2:$N$94,"Planned")</f>
        <v>0</v>
      </c>
    </row>
    <row r="7" spans="1:2" x14ac:dyDescent="0.25">
      <c r="A7" s="10" t="s">
        <v>47</v>
      </c>
      <c r="B7" s="11">
        <f>COUNTIF(Tasks!$N$2:$N$94,"In Progress")</f>
        <v>0</v>
      </c>
    </row>
    <row r="8" spans="1:2" x14ac:dyDescent="0.25">
      <c r="A8" s="10" t="s">
        <v>55</v>
      </c>
      <c r="B8" s="11">
        <f>COUNTIF(Tasks!$N$2:$N$94,"Blocked")</f>
        <v>0</v>
      </c>
    </row>
    <row r="9" spans="1:2" x14ac:dyDescent="0.25">
      <c r="A9" s="10" t="s">
        <v>61</v>
      </c>
      <c r="B9" s="11">
        <f>COUNTIF(Tasks!$N$2:$N$94,"Review")</f>
        <v>0</v>
      </c>
    </row>
    <row r="10" spans="1:2" x14ac:dyDescent="0.25">
      <c r="A10" s="10" t="s">
        <v>65</v>
      </c>
      <c r="B10" s="11">
        <f>COUNTIF(Tasks!$N$2:$N$94,"Done")</f>
        <v>0</v>
      </c>
    </row>
    <row r="14" spans="1:2" x14ac:dyDescent="0.25">
      <c r="A14" s="8" t="s">
        <v>565</v>
      </c>
    </row>
    <row r="15" spans="1:2" x14ac:dyDescent="0.25">
      <c r="A15" s="9" t="s">
        <v>28</v>
      </c>
      <c r="B15" s="9" t="s">
        <v>564</v>
      </c>
    </row>
    <row r="16" spans="1:2" x14ac:dyDescent="0.25">
      <c r="A16" s="10" t="s">
        <v>36</v>
      </c>
      <c r="B16" s="11">
        <f>COUNTIF(Tasks!$F$2:$F$94,A16)</f>
        <v>7</v>
      </c>
    </row>
    <row r="17" spans="1:2" x14ac:dyDescent="0.25">
      <c r="A17" s="10" t="s">
        <v>44</v>
      </c>
      <c r="B17" s="11">
        <f>COUNTIF(Tasks!$F$2:$F$94,A17)</f>
        <v>7</v>
      </c>
    </row>
    <row r="18" spans="1:2" x14ac:dyDescent="0.25">
      <c r="A18" s="10" t="s">
        <v>52</v>
      </c>
      <c r="B18" s="11">
        <f>COUNTIF(Tasks!$F$2:$F$94,A18)</f>
        <v>20</v>
      </c>
    </row>
    <row r="19" spans="1:2" x14ac:dyDescent="0.25">
      <c r="A19" s="10" t="s">
        <v>59</v>
      </c>
      <c r="B19" s="11">
        <f>COUNTIF(Tasks!$F$2:$F$94,A19)</f>
        <v>5</v>
      </c>
    </row>
    <row r="20" spans="1:2" x14ac:dyDescent="0.25">
      <c r="A20" s="10" t="s">
        <v>64</v>
      </c>
      <c r="B20" s="11">
        <f>COUNTIF(Tasks!$F$2:$F$94,A20)</f>
        <v>11</v>
      </c>
    </row>
    <row r="21" spans="1:2" x14ac:dyDescent="0.25">
      <c r="A21" s="10" t="s">
        <v>67</v>
      </c>
      <c r="B21" s="11">
        <f>COUNTIF(Tasks!$F$2:$F$94,A21)</f>
        <v>7</v>
      </c>
    </row>
    <row r="22" spans="1:2" x14ac:dyDescent="0.25">
      <c r="A22" s="10" t="s">
        <v>69</v>
      </c>
      <c r="B22" s="11">
        <f>COUNTIF(Tasks!$F$2:$F$94,A22)</f>
        <v>9</v>
      </c>
    </row>
    <row r="23" spans="1:2" x14ac:dyDescent="0.25">
      <c r="A23" s="10" t="s">
        <v>70</v>
      </c>
      <c r="B23" s="11">
        <f>COUNTIF(Tasks!$F$2:$F$94,A23)</f>
        <v>5</v>
      </c>
    </row>
    <row r="24" spans="1:2" x14ac:dyDescent="0.25">
      <c r="A24" s="10" t="s">
        <v>71</v>
      </c>
      <c r="B24" s="11">
        <f>COUNTIF(Tasks!$F$2:$F$94,A24)</f>
        <v>7</v>
      </c>
    </row>
    <row r="25" spans="1:2" x14ac:dyDescent="0.25">
      <c r="A25" s="10" t="s">
        <v>72</v>
      </c>
      <c r="B25" s="11">
        <f>COUNTIF(Tasks!$F$2:$F$94,A25)</f>
        <v>5</v>
      </c>
    </row>
    <row r="26" spans="1:2" x14ac:dyDescent="0.25">
      <c r="A26" s="10" t="s">
        <v>73</v>
      </c>
      <c r="B26" s="11">
        <f>COUNTIF(Tasks!$F$2:$F$94,A26)</f>
        <v>5</v>
      </c>
    </row>
    <row r="27" spans="1:2" x14ac:dyDescent="0.25">
      <c r="A27" s="10" t="s">
        <v>74</v>
      </c>
      <c r="B27" s="11">
        <f>COUNTIF(Tasks!$F$2:$F$94,A27)</f>
        <v>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Settings</vt:lpstr>
      <vt:lpstr>Tasks</vt:lpstr>
      <vt:lpstr>Stage Plan</vt:lpstr>
      <vt:lpstr>Gantt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Alperen</dc:creator>
  <cp:lastModifiedBy>ALPEREN ÖNCÜL</cp:lastModifiedBy>
  <dcterms:modified xsi:type="dcterms:W3CDTF">2026-02-03T23:01:07Z</dcterms:modified>
</cp:coreProperties>
</file>